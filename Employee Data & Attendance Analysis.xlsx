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92FEC4AF-6FA4-4D71-8CA7-6DEB6678F30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mployee Data" sheetId="1" r:id="rId1"/>
    <sheet name="Attendance" sheetId="2" r:id="rId2"/>
    <sheet name="HR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2" l="1"/>
  <c r="D27" i="2"/>
  <c r="D21" i="2"/>
  <c r="D20" i="2"/>
  <c r="D19" i="2"/>
  <c r="D18" i="2"/>
  <c r="D17" i="2"/>
  <c r="D16" i="2"/>
  <c r="D8" i="2"/>
  <c r="D6" i="2"/>
  <c r="D5" i="2"/>
  <c r="D4" i="2"/>
  <c r="D3" i="2"/>
  <c r="D2" i="2"/>
  <c r="D15" i="2"/>
  <c r="D14" i="2"/>
  <c r="D12" i="2"/>
  <c r="D10" i="2"/>
  <c r="D13" i="2"/>
  <c r="D11" i="2"/>
  <c r="D9" i="2"/>
  <c r="D7" i="2"/>
  <c r="B5" i="3"/>
  <c r="H22" i="3"/>
  <c r="H21" i="3"/>
  <c r="H20" i="3"/>
  <c r="L13" i="3"/>
  <c r="L12" i="3"/>
  <c r="L11" i="3"/>
  <c r="D15" i="3"/>
  <c r="D12" i="3"/>
  <c r="F5" i="3"/>
  <c r="H5" i="3"/>
  <c r="D32" i="2"/>
  <c r="D29" i="2"/>
  <c r="G3" i="2"/>
  <c r="G4" i="2"/>
  <c r="G5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8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24" i="3" l="1"/>
  <c r="H23" i="3"/>
  <c r="L14" i="3"/>
  <c r="J5" i="3"/>
  <c r="D30" i="2"/>
  <c r="D31" i="2"/>
  <c r="D5" i="3"/>
  <c r="D11" i="3"/>
  <c r="D13" i="3"/>
  <c r="D14" i="3"/>
  <c r="G2" i="2"/>
</calcChain>
</file>

<file path=xl/sharedStrings.xml><?xml version="1.0" encoding="utf-8"?>
<sst xmlns="http://schemas.openxmlformats.org/spreadsheetml/2006/main" count="219" uniqueCount="141">
  <si>
    <t>ID</t>
  </si>
  <si>
    <t>Nome</t>
  </si>
  <si>
    <t>Cognome</t>
  </si>
  <si>
    <t>Reparto</t>
  </si>
  <si>
    <t>Ruolo</t>
  </si>
  <si>
    <t>Data di assunzione</t>
  </si>
  <si>
    <t>Tipo contratto</t>
  </si>
  <si>
    <t>Stipendio annuo</t>
  </si>
  <si>
    <t>Età</t>
  </si>
  <si>
    <t>Stipendio mensile</t>
  </si>
  <si>
    <t>Bonus annuale</t>
  </si>
  <si>
    <t>E001</t>
  </si>
  <si>
    <t>Marco</t>
  </si>
  <si>
    <t>Verte</t>
  </si>
  <si>
    <t>IT</t>
  </si>
  <si>
    <t>IT Support Specialist</t>
  </si>
  <si>
    <t>Indeterminato</t>
  </si>
  <si>
    <t>E002</t>
  </si>
  <si>
    <t>Luisa</t>
  </si>
  <si>
    <t>Sacchi</t>
  </si>
  <si>
    <t>Marketing</t>
  </si>
  <si>
    <t>Marketing Specialist</t>
  </si>
  <si>
    <t>Somministrazione</t>
  </si>
  <si>
    <t>E003</t>
  </si>
  <si>
    <t>Enzo</t>
  </si>
  <si>
    <t>Fridano</t>
  </si>
  <si>
    <t>HR</t>
  </si>
  <si>
    <t>HR Generalist</t>
  </si>
  <si>
    <t>Part-Time</t>
  </si>
  <si>
    <t>E004</t>
  </si>
  <si>
    <t>Luigi</t>
  </si>
  <si>
    <t>Mancusi</t>
  </si>
  <si>
    <t>Social Media Specialist</t>
  </si>
  <si>
    <t>Determinato</t>
  </si>
  <si>
    <t>E005</t>
  </si>
  <si>
    <t>Sara</t>
  </si>
  <si>
    <t>Ginepri</t>
  </si>
  <si>
    <t>Talent Acquisition Specialist</t>
  </si>
  <si>
    <t>E006</t>
  </si>
  <si>
    <t>Carlo</t>
  </si>
  <si>
    <t>Botta</t>
  </si>
  <si>
    <t>Logistica</t>
  </si>
  <si>
    <t>Logistics Coordinator</t>
  </si>
  <si>
    <t>E007</t>
  </si>
  <si>
    <t>Franca</t>
  </si>
  <si>
    <t>Castelli</t>
  </si>
  <si>
    <t>Learning &amp; Development Specialist</t>
  </si>
  <si>
    <t>E008</t>
  </si>
  <si>
    <t>Miriam</t>
  </si>
  <si>
    <t>Marziano</t>
  </si>
  <si>
    <t>Payroll Specialist</t>
  </si>
  <si>
    <t>E009</t>
  </si>
  <si>
    <t>Anna</t>
  </si>
  <si>
    <t>Verzi</t>
  </si>
  <si>
    <t>HR Administration Specialist</t>
  </si>
  <si>
    <t>E010</t>
  </si>
  <si>
    <t>Karim</t>
  </si>
  <si>
    <t>Koraini</t>
  </si>
  <si>
    <t>Warehouse Coordinator</t>
  </si>
  <si>
    <t>E011</t>
  </si>
  <si>
    <t>Alfredo</t>
  </si>
  <si>
    <t>Seppi</t>
  </si>
  <si>
    <t>Compensation &amp; Benefits Specialist</t>
  </si>
  <si>
    <t>E012</t>
  </si>
  <si>
    <t>Gianni</t>
  </si>
  <si>
    <t>Marchion</t>
  </si>
  <si>
    <t>Finance</t>
  </si>
  <si>
    <t>Financial Analyst</t>
  </si>
  <si>
    <t>E013</t>
  </si>
  <si>
    <t>Marina</t>
  </si>
  <si>
    <t>Severi</t>
  </si>
  <si>
    <t>Accountant</t>
  </si>
  <si>
    <t>E014</t>
  </si>
  <si>
    <t>Saladini</t>
  </si>
  <si>
    <t>Marsala</t>
  </si>
  <si>
    <t>Supply Chain Specialist</t>
  </si>
  <si>
    <t>E015</t>
  </si>
  <si>
    <t>Marfez</t>
  </si>
  <si>
    <t>Agrippa</t>
  </si>
  <si>
    <t>Controller</t>
  </si>
  <si>
    <t>E016</t>
  </si>
  <si>
    <t>Adreas</t>
  </si>
  <si>
    <t>Sanchez</t>
  </si>
  <si>
    <t>System Administrator</t>
  </si>
  <si>
    <t>E017</t>
  </si>
  <si>
    <t>Simon</t>
  </si>
  <si>
    <t>Arper</t>
  </si>
  <si>
    <t>Recruitment Specialist</t>
  </si>
  <si>
    <t>E018</t>
  </si>
  <si>
    <t>Lulù</t>
  </si>
  <si>
    <t>Corvi</t>
  </si>
  <si>
    <t>Digital Marketing Specialist</t>
  </si>
  <si>
    <t>E019</t>
  </si>
  <si>
    <t>Massimia</t>
  </si>
  <si>
    <t>Levi</t>
  </si>
  <si>
    <t>HR Business Partner</t>
  </si>
  <si>
    <t>E020</t>
  </si>
  <si>
    <t>Stefano</t>
  </si>
  <si>
    <t>Roi</t>
  </si>
  <si>
    <t>Training Specialist</t>
  </si>
  <si>
    <t>Bonus aziendale simulato: 8% dello stipendio annuo</t>
  </si>
  <si>
    <t>Parametro</t>
  </si>
  <si>
    <t>Valore</t>
  </si>
  <si>
    <t>Bonus Aziendale</t>
  </si>
  <si>
    <t>Giorni lavorativi</t>
  </si>
  <si>
    <t>Presenze</t>
  </si>
  <si>
    <t>Assenze</t>
  </si>
  <si>
    <t>Ferie</t>
  </si>
  <si>
    <t>% Presenza</t>
  </si>
  <si>
    <t>Indicatore</t>
  </si>
  <si>
    <t>Risultato</t>
  </si>
  <si>
    <t>Totale dipendenti</t>
  </si>
  <si>
    <t>Media presenze</t>
  </si>
  <si>
    <t>Media assenze</t>
  </si>
  <si>
    <t>Massime presenze</t>
  </si>
  <si>
    <t>Minime presenze</t>
  </si>
  <si>
    <t>Totale ferie</t>
  </si>
  <si>
    <t>HR SUMMARY - Employee &amp; Attendance Analysis</t>
  </si>
  <si>
    <t>DIPENDENTI</t>
  </si>
  <si>
    <t>MEDIA PRESENZE</t>
  </si>
  <si>
    <t>MEDIA ASSENZE</t>
  </si>
  <si>
    <t>TOTALE FERIE</t>
  </si>
  <si>
    <t>STIPENDIO MENSILE MEDIO</t>
  </si>
  <si>
    <t>ATTENDANCE OVERVIEW</t>
  </si>
  <si>
    <t>SALARY OVERVIEW</t>
  </si>
  <si>
    <t>INDICATORE</t>
  </si>
  <si>
    <t>VALORI</t>
  </si>
  <si>
    <t xml:space="preserve">INDICATORI </t>
  </si>
  <si>
    <t>Stipendio annuo medio</t>
  </si>
  <si>
    <t>Stipendio annuo massimo</t>
  </si>
  <si>
    <t>Minimo presenze</t>
  </si>
  <si>
    <t>Stipendio annuo minimo</t>
  </si>
  <si>
    <t>Massimo presenze</t>
  </si>
  <si>
    <t>Stipendio mensile medio</t>
  </si>
  <si>
    <t>EMPLOYEE PROFILE</t>
  </si>
  <si>
    <t>INFORMAZIONE</t>
  </si>
  <si>
    <t>Numero dipendenti</t>
  </si>
  <si>
    <t>Età minima</t>
  </si>
  <si>
    <t>Età massima</t>
  </si>
  <si>
    <t>Stipendio mensile minimo</t>
  </si>
  <si>
    <t>Stipendio mensile massimo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</si>
</sst>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\ &quot;€&quot;"/>
    <numFmt numFmtId="166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2"/>
      <color theme="1"/>
      <name val="Calibri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scheme val="minor"/>
    </font>
    <font>
      <b/>
      <sz val="18"/>
      <color rgb="FFFF0000"/>
      <name val="Calibri"/>
      <family val="2"/>
      <scheme val="minor"/>
    </font>
    <font>
      <b/>
      <sz val="24"/>
      <color rgb="FF4472C4"/>
      <name val="Calibri"/>
      <scheme val="minor"/>
    </font>
    <font>
      <b/>
      <sz val="14"/>
      <color rgb="FFFF0000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Border="1"/>
    <xf numFmtId="0" fontId="0" fillId="0" borderId="0" xfId="0" applyBorder="1"/>
    <xf numFmtId="0" fontId="0" fillId="0" borderId="0" xfId="0" applyNumberFormat="1" applyBorder="1" applyAlignment="1">
      <alignment horizontal="center"/>
    </xf>
    <xf numFmtId="0" fontId="0" fillId="0" borderId="0" xfId="0" applyAlignment="1"/>
    <xf numFmtId="0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165" fontId="1" fillId="0" borderId="0" xfId="0" applyNumberFormat="1" applyFont="1" applyFill="1" applyBorder="1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/>
    <xf numFmtId="49" fontId="0" fillId="0" borderId="7" xfId="0" applyNumberForma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  <xf numFmtId="1" fontId="0" fillId="0" borderId="11" xfId="0" applyNumberFormat="1" applyBorder="1"/>
    <xf numFmtId="165" fontId="0" fillId="0" borderId="6" xfId="0" applyNumberFormat="1" applyBorder="1"/>
    <xf numFmtId="0" fontId="0" fillId="0" borderId="7" xfId="0" applyBorder="1"/>
    <xf numFmtId="10" fontId="0" fillId="0" borderId="6" xfId="0" applyNumberFormat="1" applyBorder="1"/>
    <xf numFmtId="0" fontId="3" fillId="3" borderId="18" xfId="0" applyFont="1" applyFill="1" applyBorder="1"/>
    <xf numFmtId="0" fontId="13" fillId="0" borderId="0" xfId="0" applyFont="1" applyAlignment="1"/>
    <xf numFmtId="0" fontId="9" fillId="0" borderId="0" xfId="0" applyFont="1" applyAlignment="1"/>
    <xf numFmtId="0" fontId="14" fillId="3" borderId="19" xfId="0" applyFont="1" applyFill="1" applyBorder="1"/>
    <xf numFmtId="14" fontId="14" fillId="3" borderId="19" xfId="0" applyNumberFormat="1" applyFont="1" applyFill="1" applyBorder="1" applyAlignment="1">
      <alignment wrapText="1"/>
    </xf>
    <xf numFmtId="164" fontId="14" fillId="3" borderId="19" xfId="0" applyNumberFormat="1" applyFont="1" applyFill="1" applyBorder="1" applyAlignment="1">
      <alignment wrapText="1"/>
    </xf>
    <xf numFmtId="1" fontId="14" fillId="3" borderId="19" xfId="0" applyNumberFormat="1" applyFont="1" applyFill="1" applyBorder="1"/>
    <xf numFmtId="0" fontId="14" fillId="3" borderId="19" xfId="0" applyFont="1" applyFill="1" applyBorder="1" applyAlignment="1">
      <alignment wrapText="1"/>
    </xf>
    <xf numFmtId="0" fontId="14" fillId="3" borderId="20" xfId="0" applyFont="1" applyFill="1" applyBorder="1" applyAlignment="1">
      <alignment wrapText="1"/>
    </xf>
    <xf numFmtId="0" fontId="15" fillId="2" borderId="18" xfId="0" applyFont="1" applyFill="1" applyBorder="1"/>
    <xf numFmtId="0" fontId="15" fillId="2" borderId="19" xfId="0" applyFont="1" applyFill="1" applyBorder="1"/>
    <xf numFmtId="0" fontId="15" fillId="2" borderId="19" xfId="0" applyFont="1" applyFill="1" applyBorder="1" applyAlignment="1">
      <alignment wrapText="1"/>
    </xf>
    <xf numFmtId="10" fontId="15" fillId="2" borderId="20" xfId="0" applyNumberFormat="1" applyFont="1" applyFill="1" applyBorder="1"/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3" fillId="0" borderId="17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right"/>
    </xf>
    <xf numFmtId="0" fontId="3" fillId="0" borderId="34" xfId="0" applyFont="1" applyFill="1" applyBorder="1" applyAlignment="1">
      <alignment horizontal="right"/>
    </xf>
    <xf numFmtId="0" fontId="3" fillId="0" borderId="28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left"/>
    </xf>
    <xf numFmtId="0" fontId="3" fillId="0" borderId="31" xfId="0" applyFont="1" applyFill="1" applyBorder="1" applyAlignment="1">
      <alignment horizontal="left"/>
    </xf>
    <xf numFmtId="0" fontId="3" fillId="0" borderId="32" xfId="0" applyFont="1" applyFill="1" applyBorder="1" applyAlignment="1">
      <alignment horizontal="left"/>
    </xf>
    <xf numFmtId="0" fontId="3" fillId="0" borderId="3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9" fontId="3" fillId="0" borderId="15" xfId="0" applyNumberFormat="1" applyFont="1" applyFill="1" applyBorder="1" applyAlignment="1">
      <alignment horizontal="center"/>
    </xf>
    <xf numFmtId="9" fontId="3" fillId="0" borderId="16" xfId="0" applyNumberFormat="1" applyFont="1" applyFill="1" applyBorder="1" applyAlignment="1">
      <alignment horizontal="center"/>
    </xf>
    <xf numFmtId="0" fontId="11" fillId="0" borderId="4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NumberFormat="1" applyFont="1" applyBorder="1" applyAlignment="1">
      <alignment horizontal="right"/>
    </xf>
    <xf numFmtId="165" fontId="3" fillId="0" borderId="11" xfId="0" applyNumberFormat="1" applyFont="1" applyBorder="1" applyAlignment="1">
      <alignment horizontal="right"/>
    </xf>
    <xf numFmtId="165" fontId="3" fillId="0" borderId="12" xfId="0" applyNumberFormat="1" applyFont="1" applyBorder="1" applyAlignment="1">
      <alignment horizontal="right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65" fontId="3" fillId="0" borderId="11" xfId="0" applyNumberFormat="1" applyFont="1" applyBorder="1" applyAlignment="1"/>
    <xf numFmtId="165" fontId="3" fillId="4" borderId="11" xfId="0" applyNumberFormat="1" applyFont="1" applyFill="1" applyBorder="1" applyAlignment="1"/>
    <xf numFmtId="165" fontId="3" fillId="0" borderId="12" xfId="0" applyNumberFormat="1" applyFont="1" applyFill="1" applyBorder="1" applyAlignment="1"/>
    <xf numFmtId="0" fontId="3" fillId="0" borderId="11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12" fillId="0" borderId="0" xfId="0" applyFont="1" applyAlignment="1">
      <alignment horizontal="center"/>
    </xf>
    <xf numFmtId="0" fontId="11" fillId="0" borderId="0" xfId="0" applyNumberFormat="1" applyFont="1" applyAlignment="1"/>
    <xf numFmtId="166" fontId="3" fillId="0" borderId="11" xfId="0" applyNumberFormat="1" applyFont="1" applyBorder="1" applyAlignment="1"/>
    <xf numFmtId="165" fontId="4" fillId="0" borderId="6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3" fillId="3" borderId="9" xfId="0" applyNumberFormat="1" applyFont="1" applyFill="1" applyBorder="1" applyAlignment="1">
      <alignment horizontal="center" vertical="center"/>
    </xf>
    <xf numFmtId="0" fontId="6" fillId="3" borderId="8" xfId="0" applyNumberFormat="1" applyFont="1" applyFill="1" applyBorder="1" applyAlignment="1">
      <alignment horizontal="center"/>
    </xf>
    <xf numFmtId="0" fontId="6" fillId="3" borderId="9" xfId="0" applyNumberFormat="1" applyFont="1" applyFill="1" applyBorder="1" applyAlignment="1">
      <alignment horizont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166" fontId="4" fillId="0" borderId="0" xfId="0" applyNumberFormat="1" applyFont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</cellXfs>
  <cellStyles count="1">
    <cellStyle name="Normale" xfId="0" builtinId="0"/>
  </cellStyles>
  <dxfs count="27">
    <dxf>
      <font>
        <color rgb="FF006100"/>
      </font>
      <fill>
        <patternFill>
          <bgColor rgb="FFC6EFCE"/>
        </patternFill>
      </fill>
    </dxf>
    <dxf>
      <numFmt numFmtId="14" formatCode="0.00%"/>
      <border>
        <left style="thin">
          <color rgb="FF000000"/>
        </left>
        <right/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/>
        <right style="thin">
          <color rgb="FF000000"/>
        </right>
        <vertical style="thin">
          <color rgb="FF000000"/>
        </vertical>
      </border>
    </dxf>
    <dxf>
      <border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65" formatCode="#,##0\ &quot;€&quot;"/>
      <border>
        <left style="thin">
          <color rgb="FF000000"/>
        </left>
        <right/>
        <vertical style="thin">
          <color rgb="FF000000"/>
        </vertical>
      </border>
    </dxf>
    <dxf>
      <numFmt numFmtId="165" formatCode="#,##0\ &quot;€&quot;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" formatCode="0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65" formatCode="#,##0\ &quot;€&quot;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numFmt numFmtId="19" formatCode="dd/mm/yyyy"/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border>
        <left/>
        <right style="thin">
          <color rgb="FF000000"/>
        </right>
        <vertical style="thin">
          <color rgb="FF000000"/>
        </vertical>
      </border>
    </dxf>
    <dxf>
      <border>
        <bottom style="double">
          <color rgb="FF000000"/>
        </bottom>
      </border>
    </dxf>
    <dxf>
      <font>
        <sz val="12"/>
      </font>
      <fill>
        <patternFill patternType="solid">
          <fgColor indexed="64"/>
          <bgColor theme="7"/>
        </patternFill>
      </fill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theme="8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02ABF9-257B-439E-B772-3DD9CC0C809E}" name="Tabella5" displayName="Tabella5" ref="A1:K21" totalsRowShown="0" headerRowDxfId="22" headerRowBorderDxfId="21">
  <autoFilter ref="A1:K21" xr:uid="{D402ABF9-257B-439E-B772-3DD9CC0C809E}"/>
  <tableColumns count="11">
    <tableColumn id="1" xr3:uid="{BB4B5B82-4203-49C9-8E5D-B9ED6CFD54FC}" name="ID" dataDxfId="20"/>
    <tableColumn id="2" xr3:uid="{433AADBA-1FA2-41D0-BC6C-C4114B7D19FF}" name="Nome" dataDxfId="19"/>
    <tableColumn id="3" xr3:uid="{17A48D10-9097-4062-B1A0-0F3F1F1A9F98}" name="Cognome" dataDxfId="18"/>
    <tableColumn id="4" xr3:uid="{1F08C383-B3EC-453B-93A3-C3C8D91C5230}" name="Reparto" dataDxfId="17"/>
    <tableColumn id="5" xr3:uid="{791E0F6C-1BC9-40D0-9B3A-5B1DB1BF82DF}" name="Ruolo" dataDxfId="16"/>
    <tableColumn id="6" xr3:uid="{95AA5F2D-1AC2-40AF-8440-B4D7E299FEC0}" name="Data di assunzione" dataDxfId="15"/>
    <tableColumn id="7" xr3:uid="{E61F6926-2477-4104-BA6B-DF92E1DE2F43}" name="Tipo contratto" dataDxfId="14"/>
    <tableColumn id="8" xr3:uid="{B5469159-D622-4986-BC21-AF1D125704B6}" name="Stipendio annuo" dataDxfId="13"/>
    <tableColumn id="9" xr3:uid="{3E2BCC49-7890-4CD1-879D-9D8722BF40A3}" name="Età" dataDxfId="12"/>
    <tableColumn id="10" xr3:uid="{90F40D33-DDFE-4C0A-B883-D29EE5497B69}" name="Stipendio mensile" dataDxfId="11">
      <calculatedColumnFormula>H2/12</calculatedColumnFormula>
    </tableColumn>
    <tableColumn id="11" xr3:uid="{844F6F07-1131-4251-81D4-9D8380E46617}" name="Bonus annuale" dataDxfId="10">
      <calculatedColumnFormula>H2*$O$25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7E248-B9D4-4A24-85EF-8AD9953D958C}" name="Tabella3" displayName="Tabella3" ref="A1:G21" totalsRowShown="0" headerRowDxfId="9" headerRowBorderDxfId="8">
  <autoFilter ref="A1:G21" xr:uid="{53E7E248-B9D4-4A24-85EF-8AD9953D958C}"/>
  <tableColumns count="7">
    <tableColumn id="1" xr3:uid="{65B4E74C-8353-4C64-8A05-66406D9CF8AE}" name="ID" dataDxfId="7"/>
    <tableColumn id="2" xr3:uid="{1B2E9214-5319-4044-A285-E99BAF39F25F}" name="Nome" dataDxfId="6"/>
    <tableColumn id="3" xr3:uid="{54EAB39D-39D0-4904-BB01-5E8F4DC9F0C3}" name="Giorni lavorativi" dataDxfId="5"/>
    <tableColumn id="4" xr3:uid="{5D0D64F5-EFE1-41C9-B41B-17345C5E7218}" name="Presenze" dataDxfId="4">
      <calculatedColumnFormula>220-SUM(E2,F2)</calculatedColumnFormula>
    </tableColumn>
    <tableColumn id="5" xr3:uid="{9BDA6462-356F-4D80-B0B8-AF72C7A17B76}" name="Assenze" dataDxfId="3"/>
    <tableColumn id="6" xr3:uid="{16890DEE-3C67-42ED-80FD-D63BBFD3805B}" name="Ferie" dataDxfId="2"/>
    <tableColumn id="7" xr3:uid="{73604FCA-75EF-4BE6-A912-A3107CA891AD}" name="% Presenza" dataDxfId="1">
      <calculatedColumnFormula>D2/C2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R25"/>
  <sheetViews>
    <sheetView topLeftCell="A9" workbookViewId="0">
      <selection activeCell="N12" sqref="N12"/>
    </sheetView>
  </sheetViews>
  <sheetFormatPr defaultRowHeight="15"/>
  <cols>
    <col min="1" max="1" width="5.42578125" bestFit="1" customWidth="1"/>
    <col min="2" max="2" width="9.42578125" bestFit="1" customWidth="1"/>
    <col min="3" max="3" width="11.85546875" bestFit="1" customWidth="1"/>
    <col min="4" max="4" width="11" bestFit="1" customWidth="1"/>
    <col min="5" max="5" width="32.7109375" bestFit="1" customWidth="1"/>
    <col min="6" max="6" width="13.42578125" style="4" bestFit="1" customWidth="1"/>
    <col min="7" max="7" width="16.85546875" bestFit="1" customWidth="1"/>
    <col min="8" max="8" width="12.28515625" bestFit="1" customWidth="1"/>
    <col min="10" max="10" width="12.28515625" bestFit="1" customWidth="1"/>
    <col min="11" max="11" width="11.42578125" bestFit="1" customWidth="1"/>
    <col min="13" max="13" width="15.5703125" bestFit="1" customWidth="1"/>
    <col min="16" max="16" width="7" bestFit="1" customWidth="1"/>
  </cols>
  <sheetData>
    <row r="1" spans="1:11" ht="32.25">
      <c r="A1" s="30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5</v>
      </c>
      <c r="G1" s="33" t="s">
        <v>6</v>
      </c>
      <c r="H1" s="35" t="s">
        <v>7</v>
      </c>
      <c r="I1" s="36" t="s">
        <v>8</v>
      </c>
      <c r="J1" s="37" t="s">
        <v>9</v>
      </c>
      <c r="K1" s="38" t="s">
        <v>10</v>
      </c>
    </row>
    <row r="2" spans="1:11">
      <c r="A2" s="22" t="s">
        <v>11</v>
      </c>
      <c r="B2" s="23" t="s">
        <v>12</v>
      </c>
      <c r="C2" s="23" t="s">
        <v>13</v>
      </c>
      <c r="D2" s="23" t="s">
        <v>14</v>
      </c>
      <c r="E2" s="23" t="s">
        <v>15</v>
      </c>
      <c r="F2" s="24">
        <v>44844</v>
      </c>
      <c r="G2" s="23" t="s">
        <v>16</v>
      </c>
      <c r="H2" s="25">
        <v>25000</v>
      </c>
      <c r="I2" s="26">
        <v>34</v>
      </c>
      <c r="J2" s="25">
        <f>H2/12</f>
        <v>2083.3333333333335</v>
      </c>
      <c r="K2" s="27">
        <f>H2*$O$25</f>
        <v>2000</v>
      </c>
    </row>
    <row r="3" spans="1:11">
      <c r="A3" s="28" t="s">
        <v>17</v>
      </c>
      <c r="B3" s="23" t="s">
        <v>18</v>
      </c>
      <c r="C3" s="23" t="s">
        <v>19</v>
      </c>
      <c r="D3" s="23" t="s">
        <v>20</v>
      </c>
      <c r="E3" s="23" t="s">
        <v>21</v>
      </c>
      <c r="F3" s="24">
        <v>45692</v>
      </c>
      <c r="G3" s="23" t="s">
        <v>22</v>
      </c>
      <c r="H3" s="25">
        <v>23000</v>
      </c>
      <c r="I3" s="26">
        <v>37</v>
      </c>
      <c r="J3" s="25">
        <f t="shared" ref="J3:J21" si="0">H3/12</f>
        <v>1916.6666666666667</v>
      </c>
      <c r="K3" s="27">
        <f>H3*$O$25</f>
        <v>1840</v>
      </c>
    </row>
    <row r="4" spans="1:11">
      <c r="A4" s="28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4">
        <v>46175</v>
      </c>
      <c r="G4" s="23" t="s">
        <v>28</v>
      </c>
      <c r="H4" s="25">
        <v>26000</v>
      </c>
      <c r="I4" s="26">
        <v>20</v>
      </c>
      <c r="J4" s="25">
        <f t="shared" si="0"/>
        <v>2166.6666666666665</v>
      </c>
      <c r="K4" s="27">
        <f>H4*$O$25</f>
        <v>2080</v>
      </c>
    </row>
    <row r="5" spans="1:11">
      <c r="A5" s="28" t="s">
        <v>29</v>
      </c>
      <c r="B5" s="23" t="s">
        <v>30</v>
      </c>
      <c r="C5" s="23" t="s">
        <v>31</v>
      </c>
      <c r="D5" s="23" t="s">
        <v>20</v>
      </c>
      <c r="E5" s="23" t="s">
        <v>32</v>
      </c>
      <c r="F5" s="24">
        <v>45665</v>
      </c>
      <c r="G5" s="23" t="s">
        <v>33</v>
      </c>
      <c r="H5" s="25">
        <v>28000</v>
      </c>
      <c r="I5" s="26">
        <v>47</v>
      </c>
      <c r="J5" s="25">
        <f t="shared" si="0"/>
        <v>2333.3333333333335</v>
      </c>
      <c r="K5" s="27">
        <f>H5*$O$25</f>
        <v>2240</v>
      </c>
    </row>
    <row r="6" spans="1:11">
      <c r="A6" s="28" t="s">
        <v>34</v>
      </c>
      <c r="B6" s="23" t="s">
        <v>35</v>
      </c>
      <c r="C6" s="23" t="s">
        <v>36</v>
      </c>
      <c r="D6" s="23" t="s">
        <v>26</v>
      </c>
      <c r="E6" s="23" t="s">
        <v>37</v>
      </c>
      <c r="F6" s="24">
        <v>46117</v>
      </c>
      <c r="G6" s="23" t="s">
        <v>28</v>
      </c>
      <c r="H6" s="25">
        <v>27000</v>
      </c>
      <c r="I6" s="26">
        <v>48</v>
      </c>
      <c r="J6" s="25">
        <f t="shared" si="0"/>
        <v>2250</v>
      </c>
      <c r="K6" s="27">
        <f>H6*$O$25</f>
        <v>2160</v>
      </c>
    </row>
    <row r="7" spans="1:11">
      <c r="A7" s="28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4">
        <v>45630</v>
      </c>
      <c r="G7" s="23" t="s">
        <v>33</v>
      </c>
      <c r="H7" s="25">
        <v>25000</v>
      </c>
      <c r="I7" s="26">
        <v>29</v>
      </c>
      <c r="J7" s="25">
        <f t="shared" si="0"/>
        <v>2083.3333333333335</v>
      </c>
      <c r="K7" s="27">
        <f>H7*$O$25</f>
        <v>2000</v>
      </c>
    </row>
    <row r="8" spans="1:11">
      <c r="A8" s="28" t="s">
        <v>43</v>
      </c>
      <c r="B8" s="23" t="s">
        <v>44</v>
      </c>
      <c r="C8" s="23" t="s">
        <v>45</v>
      </c>
      <c r="D8" s="23" t="s">
        <v>26</v>
      </c>
      <c r="E8" s="23" t="s">
        <v>46</v>
      </c>
      <c r="F8" s="24">
        <v>44535</v>
      </c>
      <c r="G8" s="23" t="s">
        <v>28</v>
      </c>
      <c r="H8" s="25">
        <v>29000</v>
      </c>
      <c r="I8" s="26">
        <v>29</v>
      </c>
      <c r="J8" s="25">
        <f t="shared" si="0"/>
        <v>2416.6666666666665</v>
      </c>
      <c r="K8" s="27">
        <f>H8*$O$25</f>
        <v>2320</v>
      </c>
    </row>
    <row r="9" spans="1:11">
      <c r="A9" s="28" t="s">
        <v>47</v>
      </c>
      <c r="B9" s="23" t="s">
        <v>48</v>
      </c>
      <c r="C9" s="23" t="s">
        <v>49</v>
      </c>
      <c r="D9" s="23" t="s">
        <v>26</v>
      </c>
      <c r="E9" s="23" t="s">
        <v>50</v>
      </c>
      <c r="F9" s="24">
        <v>44901</v>
      </c>
      <c r="G9" s="23" t="s">
        <v>33</v>
      </c>
      <c r="H9" s="25">
        <v>28000</v>
      </c>
      <c r="I9" s="26">
        <v>56</v>
      </c>
      <c r="J9" s="25">
        <f t="shared" si="0"/>
        <v>2333.3333333333335</v>
      </c>
      <c r="K9" s="27">
        <f>H9*$O$25</f>
        <v>2240</v>
      </c>
    </row>
    <row r="10" spans="1:11">
      <c r="A10" s="28" t="s">
        <v>51</v>
      </c>
      <c r="B10" s="23" t="s">
        <v>52</v>
      </c>
      <c r="C10" s="23" t="s">
        <v>53</v>
      </c>
      <c r="D10" s="23" t="s">
        <v>26</v>
      </c>
      <c r="E10" s="23" t="s">
        <v>54</v>
      </c>
      <c r="F10" s="24">
        <v>45267</v>
      </c>
      <c r="G10" s="23" t="s">
        <v>22</v>
      </c>
      <c r="H10" s="25">
        <v>27000</v>
      </c>
      <c r="I10" s="26">
        <v>28</v>
      </c>
      <c r="J10" s="25">
        <f t="shared" si="0"/>
        <v>2250</v>
      </c>
      <c r="K10" s="27">
        <f>H10*$O$25</f>
        <v>2160</v>
      </c>
    </row>
    <row r="11" spans="1:11">
      <c r="A11" s="28" t="s">
        <v>55</v>
      </c>
      <c r="B11" s="23" t="s">
        <v>56</v>
      </c>
      <c r="C11" s="23" t="s">
        <v>57</v>
      </c>
      <c r="D11" s="23" t="s">
        <v>41</v>
      </c>
      <c r="E11" s="23" t="s">
        <v>58</v>
      </c>
      <c r="F11" s="24">
        <v>45634</v>
      </c>
      <c r="G11" s="23" t="s">
        <v>22</v>
      </c>
      <c r="H11" s="25">
        <v>26000</v>
      </c>
      <c r="I11" s="26">
        <v>40</v>
      </c>
      <c r="J11" s="25">
        <f t="shared" si="0"/>
        <v>2166.6666666666665</v>
      </c>
      <c r="K11" s="27">
        <f>H11*$O$25</f>
        <v>2080</v>
      </c>
    </row>
    <row r="12" spans="1:11">
      <c r="A12" s="28" t="s">
        <v>59</v>
      </c>
      <c r="B12" s="23" t="s">
        <v>60</v>
      </c>
      <c r="C12" s="23" t="s">
        <v>61</v>
      </c>
      <c r="D12" s="23" t="s">
        <v>26</v>
      </c>
      <c r="E12" s="23" t="s">
        <v>62</v>
      </c>
      <c r="F12" s="24">
        <v>46000</v>
      </c>
      <c r="G12" s="23" t="s">
        <v>28</v>
      </c>
      <c r="H12" s="25">
        <v>27000</v>
      </c>
      <c r="I12" s="26">
        <v>40</v>
      </c>
      <c r="J12" s="25">
        <f t="shared" si="0"/>
        <v>2250</v>
      </c>
      <c r="K12" s="27">
        <f>H12*$O$25</f>
        <v>2160</v>
      </c>
    </row>
    <row r="13" spans="1:11">
      <c r="A13" s="28" t="s">
        <v>63</v>
      </c>
      <c r="B13" s="23" t="s">
        <v>64</v>
      </c>
      <c r="C13" s="23" t="s">
        <v>65</v>
      </c>
      <c r="D13" s="23" t="s">
        <v>66</v>
      </c>
      <c r="E13" s="23" t="s">
        <v>67</v>
      </c>
      <c r="F13" s="24">
        <v>44175</v>
      </c>
      <c r="G13" s="23" t="s">
        <v>22</v>
      </c>
      <c r="H13" s="25">
        <v>28000</v>
      </c>
      <c r="I13" s="26">
        <v>29</v>
      </c>
      <c r="J13" s="25">
        <f t="shared" si="0"/>
        <v>2333.3333333333335</v>
      </c>
      <c r="K13" s="27">
        <f>H13*$O$25</f>
        <v>2240</v>
      </c>
    </row>
    <row r="14" spans="1:11">
      <c r="A14" s="28" t="s">
        <v>68</v>
      </c>
      <c r="B14" s="23" t="s">
        <v>69</v>
      </c>
      <c r="C14" s="23" t="s">
        <v>70</v>
      </c>
      <c r="D14" s="23" t="s">
        <v>66</v>
      </c>
      <c r="E14" s="23" t="s">
        <v>71</v>
      </c>
      <c r="F14" s="24">
        <v>46118</v>
      </c>
      <c r="G14" s="23" t="s">
        <v>33</v>
      </c>
      <c r="H14" s="25">
        <v>30000</v>
      </c>
      <c r="I14" s="26">
        <v>54</v>
      </c>
      <c r="J14" s="25">
        <f t="shared" si="0"/>
        <v>2500</v>
      </c>
      <c r="K14" s="27">
        <f>H14*$O$25</f>
        <v>2400</v>
      </c>
    </row>
    <row r="15" spans="1:11">
      <c r="A15" s="28" t="s">
        <v>72</v>
      </c>
      <c r="B15" s="23" t="s">
        <v>73</v>
      </c>
      <c r="C15" s="23" t="s">
        <v>74</v>
      </c>
      <c r="D15" s="23" t="s">
        <v>41</v>
      </c>
      <c r="E15" s="23" t="s">
        <v>75</v>
      </c>
      <c r="F15" s="24">
        <v>45272</v>
      </c>
      <c r="G15" s="23" t="s">
        <v>22</v>
      </c>
      <c r="H15" s="25">
        <v>26000</v>
      </c>
      <c r="I15" s="26">
        <v>29</v>
      </c>
      <c r="J15" s="25">
        <f t="shared" si="0"/>
        <v>2166.6666666666665</v>
      </c>
      <c r="K15" s="27">
        <f>H15*$O$25</f>
        <v>2080</v>
      </c>
    </row>
    <row r="16" spans="1:11">
      <c r="A16" s="28" t="s">
        <v>76</v>
      </c>
      <c r="B16" s="23" t="s">
        <v>77</v>
      </c>
      <c r="C16" s="23" t="s">
        <v>78</v>
      </c>
      <c r="D16" s="23" t="s">
        <v>66</v>
      </c>
      <c r="E16" s="23" t="s">
        <v>79</v>
      </c>
      <c r="F16" s="24">
        <v>44908</v>
      </c>
      <c r="G16" s="23" t="s">
        <v>28</v>
      </c>
      <c r="H16" s="25">
        <v>28000</v>
      </c>
      <c r="I16" s="26">
        <v>55</v>
      </c>
      <c r="J16" s="25">
        <f t="shared" si="0"/>
        <v>2333.3333333333335</v>
      </c>
      <c r="K16" s="27">
        <f>H16*$O$25</f>
        <v>2240</v>
      </c>
    </row>
    <row r="17" spans="1:18">
      <c r="A17" s="28" t="s">
        <v>80</v>
      </c>
      <c r="B17" s="23" t="s">
        <v>81</v>
      </c>
      <c r="C17" s="23" t="s">
        <v>82</v>
      </c>
      <c r="D17" s="23" t="s">
        <v>14</v>
      </c>
      <c r="E17" s="23" t="s">
        <v>83</v>
      </c>
      <c r="F17" s="24">
        <v>44179</v>
      </c>
      <c r="G17" s="23" t="s">
        <v>33</v>
      </c>
      <c r="H17" s="25">
        <v>25000</v>
      </c>
      <c r="I17" s="26">
        <v>32</v>
      </c>
      <c r="J17" s="25">
        <f t="shared" si="0"/>
        <v>2083.3333333333335</v>
      </c>
      <c r="K17" s="27">
        <f>H17*$O$25</f>
        <v>2000</v>
      </c>
    </row>
    <row r="18" spans="1:18">
      <c r="A18" s="28" t="s">
        <v>84</v>
      </c>
      <c r="B18" s="23" t="s">
        <v>85</v>
      </c>
      <c r="C18" s="23" t="s">
        <v>86</v>
      </c>
      <c r="D18" s="23" t="s">
        <v>26</v>
      </c>
      <c r="E18" s="23" t="s">
        <v>87</v>
      </c>
      <c r="F18" s="24">
        <v>44545</v>
      </c>
      <c r="G18" s="23" t="s">
        <v>16</v>
      </c>
      <c r="H18" s="25">
        <v>29000</v>
      </c>
      <c r="I18" s="26">
        <v>38</v>
      </c>
      <c r="J18" s="25">
        <f t="shared" si="0"/>
        <v>2416.6666666666665</v>
      </c>
      <c r="K18" s="27">
        <f>H18*$O$25</f>
        <v>2320</v>
      </c>
    </row>
    <row r="19" spans="1:18">
      <c r="A19" s="28" t="s">
        <v>88</v>
      </c>
      <c r="B19" s="23" t="s">
        <v>89</v>
      </c>
      <c r="C19" s="23" t="s">
        <v>90</v>
      </c>
      <c r="D19" s="23" t="s">
        <v>20</v>
      </c>
      <c r="E19" s="23" t="s">
        <v>91</v>
      </c>
      <c r="F19" s="24">
        <v>44546</v>
      </c>
      <c r="G19" s="23" t="s">
        <v>33</v>
      </c>
      <c r="H19" s="25">
        <v>26000</v>
      </c>
      <c r="I19" s="26">
        <v>23</v>
      </c>
      <c r="J19" s="25">
        <f t="shared" si="0"/>
        <v>2166.6666666666665</v>
      </c>
      <c r="K19" s="27">
        <f>H19*$O$25</f>
        <v>2080</v>
      </c>
    </row>
    <row r="20" spans="1:18">
      <c r="A20" s="28" t="s">
        <v>92</v>
      </c>
      <c r="B20" s="23" t="s">
        <v>93</v>
      </c>
      <c r="C20" s="23" t="s">
        <v>94</v>
      </c>
      <c r="D20" s="23" t="s">
        <v>26</v>
      </c>
      <c r="E20" s="23" t="s">
        <v>95</v>
      </c>
      <c r="F20" s="24">
        <v>42355</v>
      </c>
      <c r="G20" s="23" t="s">
        <v>28</v>
      </c>
      <c r="H20" s="25">
        <v>31000</v>
      </c>
      <c r="I20" s="26">
        <v>63</v>
      </c>
      <c r="J20" s="25">
        <f t="shared" si="0"/>
        <v>2583.3333333333335</v>
      </c>
      <c r="K20" s="27">
        <f>H20*$O$25</f>
        <v>2480</v>
      </c>
    </row>
    <row r="21" spans="1:18">
      <c r="A21" s="28" t="s">
        <v>96</v>
      </c>
      <c r="B21" s="23" t="s">
        <v>97</v>
      </c>
      <c r="C21" s="23" t="s">
        <v>98</v>
      </c>
      <c r="D21" s="23" t="s">
        <v>26</v>
      </c>
      <c r="E21" s="23" t="s">
        <v>99</v>
      </c>
      <c r="F21" s="24">
        <v>45644</v>
      </c>
      <c r="G21" s="23" t="s">
        <v>33</v>
      </c>
      <c r="H21" s="25">
        <v>25000</v>
      </c>
      <c r="I21" s="26">
        <v>20</v>
      </c>
      <c r="J21" s="25">
        <f t="shared" si="0"/>
        <v>2083.3333333333335</v>
      </c>
      <c r="K21" s="27">
        <f>H21*$O$25</f>
        <v>2000</v>
      </c>
    </row>
    <row r="23" spans="1:18" ht="21">
      <c r="L23" s="12"/>
      <c r="M23" s="31" t="s">
        <v>100</v>
      </c>
      <c r="N23" s="32"/>
      <c r="O23" s="32"/>
      <c r="P23" s="32"/>
      <c r="Q23" s="32"/>
      <c r="R23" s="32"/>
    </row>
    <row r="24" spans="1:18" ht="18.75">
      <c r="M24" s="59" t="s">
        <v>101</v>
      </c>
      <c r="N24" s="60"/>
      <c r="O24" s="60" t="s">
        <v>102</v>
      </c>
      <c r="P24" s="61"/>
    </row>
    <row r="25" spans="1:18" ht="15.75">
      <c r="M25" s="62" t="s">
        <v>103</v>
      </c>
      <c r="N25" s="63"/>
      <c r="O25" s="64">
        <v>0.08</v>
      </c>
      <c r="P25" s="65"/>
    </row>
  </sheetData>
  <mergeCells count="4">
    <mergeCell ref="M24:N24"/>
    <mergeCell ref="O24:P24"/>
    <mergeCell ref="M25:N25"/>
    <mergeCell ref="O25:P25"/>
  </mergeCells>
  <conditionalFormatting sqref="H2:H21">
    <cfRule type="cellIs" dxfId="26" priority="4" operator="greaterThan">
      <formula>27000</formula>
    </cfRule>
  </conditionalFormatting>
  <conditionalFormatting sqref="H2:H21">
    <cfRule type="cellIs" dxfId="25" priority="3" operator="lessThan">
      <formula>28000</formula>
    </cfRule>
  </conditionalFormatting>
  <conditionalFormatting sqref="I2:I21">
    <cfRule type="cellIs" dxfId="24" priority="2" operator="greaterThan">
      <formula>35</formula>
    </cfRule>
  </conditionalFormatting>
  <conditionalFormatting sqref="I2:I21">
    <cfRule type="cellIs" dxfId="23" priority="1" operator="lessThan">
      <formula>35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121B-EC70-44F8-A879-F70CF2A049DE}">
  <sheetPr>
    <tabColor rgb="FFFFC000"/>
  </sheetPr>
  <dimension ref="A1:N32"/>
  <sheetViews>
    <sheetView tabSelected="1" topLeftCell="A14" workbookViewId="0">
      <selection activeCell="H33" sqref="H33"/>
    </sheetView>
  </sheetViews>
  <sheetFormatPr defaultRowHeight="15"/>
  <cols>
    <col min="1" max="1" width="6" bestFit="1" customWidth="1"/>
    <col min="2" max="2" width="9.42578125" bestFit="1" customWidth="1"/>
    <col min="3" max="4" width="11.42578125" bestFit="1" customWidth="1"/>
    <col min="5" max="5" width="10.5703125" bestFit="1" customWidth="1"/>
    <col min="7" max="7" width="13.42578125" style="5" bestFit="1" customWidth="1"/>
  </cols>
  <sheetData>
    <row r="1" spans="1:14" ht="32.25">
      <c r="A1" s="39" t="s">
        <v>0</v>
      </c>
      <c r="B1" s="40" t="s">
        <v>1</v>
      </c>
      <c r="C1" s="41" t="s">
        <v>104</v>
      </c>
      <c r="D1" s="40" t="s">
        <v>105</v>
      </c>
      <c r="E1" s="40" t="s">
        <v>106</v>
      </c>
      <c r="F1" s="40" t="s">
        <v>107</v>
      </c>
      <c r="G1" s="42" t="s">
        <v>108</v>
      </c>
    </row>
    <row r="2" spans="1:14">
      <c r="A2" s="22" t="s">
        <v>11</v>
      </c>
      <c r="B2" s="23" t="s">
        <v>12</v>
      </c>
      <c r="C2" s="23">
        <v>220</v>
      </c>
      <c r="D2" s="23">
        <f>220-(E2+F2)</f>
        <v>200</v>
      </c>
      <c r="E2" s="23">
        <v>1</v>
      </c>
      <c r="F2" s="23">
        <v>19</v>
      </c>
      <c r="G2" s="29">
        <f>D2/C2</f>
        <v>0.90909090909090906</v>
      </c>
      <c r="I2" s="1"/>
    </row>
    <row r="3" spans="1:14">
      <c r="A3" s="28" t="s">
        <v>17</v>
      </c>
      <c r="B3" s="23" t="s">
        <v>18</v>
      </c>
      <c r="C3" s="23">
        <v>220</v>
      </c>
      <c r="D3" s="23">
        <f>220-(E3+F3)</f>
        <v>201</v>
      </c>
      <c r="E3" s="23">
        <v>10</v>
      </c>
      <c r="F3" s="23">
        <v>9</v>
      </c>
      <c r="G3" s="29">
        <f t="shared" ref="G3:G21" si="0">D3/C3</f>
        <v>0.91363636363636369</v>
      </c>
    </row>
    <row r="4" spans="1:14">
      <c r="A4" s="28" t="s">
        <v>23</v>
      </c>
      <c r="B4" s="23" t="s">
        <v>24</v>
      </c>
      <c r="C4" s="23">
        <v>220</v>
      </c>
      <c r="D4" s="23">
        <f>220-(E4+F4)</f>
        <v>195</v>
      </c>
      <c r="E4" s="23">
        <v>23</v>
      </c>
      <c r="F4" s="23">
        <v>2</v>
      </c>
      <c r="G4" s="29">
        <f t="shared" si="0"/>
        <v>0.88636363636363635</v>
      </c>
    </row>
    <row r="5" spans="1:14">
      <c r="A5" s="28" t="s">
        <v>29</v>
      </c>
      <c r="B5" s="23" t="s">
        <v>30</v>
      </c>
      <c r="C5" s="23">
        <v>220</v>
      </c>
      <c r="D5" s="23">
        <f>220-(E5+F5)</f>
        <v>207</v>
      </c>
      <c r="E5" s="23">
        <v>2</v>
      </c>
      <c r="F5" s="23">
        <v>11</v>
      </c>
      <c r="G5" s="29">
        <f t="shared" si="0"/>
        <v>0.94090909090909092</v>
      </c>
    </row>
    <row r="6" spans="1:14">
      <c r="A6" s="28" t="s">
        <v>34</v>
      </c>
      <c r="B6" s="23" t="s">
        <v>35</v>
      </c>
      <c r="C6" s="23">
        <v>220</v>
      </c>
      <c r="D6" s="23">
        <f>220-(E6+F6)</f>
        <v>185</v>
      </c>
      <c r="E6" s="23">
        <v>5</v>
      </c>
      <c r="F6" s="23">
        <v>30</v>
      </c>
      <c r="G6" s="29">
        <f t="shared" si="0"/>
        <v>0.84090909090909094</v>
      </c>
    </row>
    <row r="7" spans="1:14">
      <c r="A7" s="28" t="s">
        <v>38</v>
      </c>
      <c r="B7" s="23" t="s">
        <v>39</v>
      </c>
      <c r="C7" s="23">
        <v>220</v>
      </c>
      <c r="D7" s="23">
        <f>220-(F7+E7)</f>
        <v>196</v>
      </c>
      <c r="E7" s="23">
        <v>6</v>
      </c>
      <c r="F7" s="23">
        <v>18</v>
      </c>
      <c r="G7" s="29">
        <f t="shared" si="0"/>
        <v>0.89090909090909087</v>
      </c>
    </row>
    <row r="8" spans="1:14">
      <c r="A8" s="28" t="s">
        <v>43</v>
      </c>
      <c r="B8" s="23" t="s">
        <v>44</v>
      </c>
      <c r="C8" s="23">
        <v>220</v>
      </c>
      <c r="D8" s="23">
        <f>220-(E8+F8)</f>
        <v>200</v>
      </c>
      <c r="E8" s="23">
        <v>12</v>
      </c>
      <c r="F8" s="23">
        <v>8</v>
      </c>
      <c r="G8" s="29">
        <f t="shared" si="0"/>
        <v>0.90909090909090906</v>
      </c>
    </row>
    <row r="9" spans="1:14">
      <c r="A9" s="28" t="s">
        <v>47</v>
      </c>
      <c r="B9" s="23" t="s">
        <v>48</v>
      </c>
      <c r="C9" s="23">
        <v>220</v>
      </c>
      <c r="D9" s="23">
        <f>220-(E9+F9)</f>
        <v>176</v>
      </c>
      <c r="E9" s="23">
        <v>14</v>
      </c>
      <c r="F9" s="23">
        <v>30</v>
      </c>
      <c r="G9" s="29">
        <f t="shared" si="0"/>
        <v>0.8</v>
      </c>
    </row>
    <row r="10" spans="1:14">
      <c r="A10" s="28" t="s">
        <v>51</v>
      </c>
      <c r="B10" s="23" t="s">
        <v>52</v>
      </c>
      <c r="C10" s="23">
        <v>220</v>
      </c>
      <c r="D10" s="23">
        <f>220-(E10+F10)</f>
        <v>182</v>
      </c>
      <c r="E10" s="23">
        <v>15</v>
      </c>
      <c r="F10" s="23">
        <v>23</v>
      </c>
      <c r="G10" s="29">
        <f t="shared" si="0"/>
        <v>0.82727272727272727</v>
      </c>
    </row>
    <row r="11" spans="1:14">
      <c r="A11" s="28" t="s">
        <v>55</v>
      </c>
      <c r="B11" s="23" t="s">
        <v>56</v>
      </c>
      <c r="C11" s="23">
        <v>220</v>
      </c>
      <c r="D11" s="23">
        <f>220-(E11+F11)</f>
        <v>182</v>
      </c>
      <c r="E11" s="23">
        <v>10</v>
      </c>
      <c r="F11" s="23">
        <v>28</v>
      </c>
      <c r="G11" s="29">
        <f t="shared" si="0"/>
        <v>0.82727272727272727</v>
      </c>
    </row>
    <row r="12" spans="1:14">
      <c r="A12" s="28" t="s">
        <v>59</v>
      </c>
      <c r="B12" s="23" t="s">
        <v>60</v>
      </c>
      <c r="C12" s="23">
        <v>220</v>
      </c>
      <c r="D12" s="23">
        <f>220-(E12+F12)</f>
        <v>195</v>
      </c>
      <c r="E12" s="23">
        <v>6</v>
      </c>
      <c r="F12" s="23">
        <v>19</v>
      </c>
      <c r="G12" s="29">
        <f t="shared" si="0"/>
        <v>0.88636363636363635</v>
      </c>
    </row>
    <row r="13" spans="1:14">
      <c r="A13" s="28" t="s">
        <v>63</v>
      </c>
      <c r="B13" s="23" t="s">
        <v>64</v>
      </c>
      <c r="C13" s="23">
        <v>220</v>
      </c>
      <c r="D13" s="23">
        <f>220-(E13+F13)</f>
        <v>191</v>
      </c>
      <c r="E13" s="23">
        <v>7</v>
      </c>
      <c r="F13" s="23">
        <v>22</v>
      </c>
      <c r="G13" s="29">
        <f t="shared" si="0"/>
        <v>0.86818181818181817</v>
      </c>
    </row>
    <row r="14" spans="1:14">
      <c r="A14" s="28" t="s">
        <v>68</v>
      </c>
      <c r="B14" s="23" t="s">
        <v>69</v>
      </c>
      <c r="C14" s="23">
        <v>220</v>
      </c>
      <c r="D14" s="23">
        <f>220-(E14+F14)</f>
        <v>210</v>
      </c>
      <c r="E14" s="23">
        <v>3</v>
      </c>
      <c r="F14" s="23">
        <v>7</v>
      </c>
      <c r="G14" s="29">
        <f t="shared" si="0"/>
        <v>0.95454545454545459</v>
      </c>
    </row>
    <row r="15" spans="1:14">
      <c r="A15" s="28" t="s">
        <v>72</v>
      </c>
      <c r="B15" s="23" t="s">
        <v>73</v>
      </c>
      <c r="C15" s="23">
        <v>220</v>
      </c>
      <c r="D15" s="23">
        <f>220-(E15+F15)</f>
        <v>207</v>
      </c>
      <c r="E15" s="23">
        <v>7</v>
      </c>
      <c r="F15" s="23">
        <v>6</v>
      </c>
      <c r="G15" s="29">
        <f t="shared" si="0"/>
        <v>0.94090909090909092</v>
      </c>
      <c r="K15" s="10"/>
      <c r="L15" s="10"/>
      <c r="M15" s="10"/>
      <c r="N15" s="10"/>
    </row>
    <row r="16" spans="1:14">
      <c r="A16" s="28" t="s">
        <v>76</v>
      </c>
      <c r="B16" s="23" t="s">
        <v>77</v>
      </c>
      <c r="C16" s="23">
        <v>220</v>
      </c>
      <c r="D16" s="23">
        <f>220-(E16+F16)</f>
        <v>208</v>
      </c>
      <c r="E16" s="23">
        <v>9</v>
      </c>
      <c r="F16" s="23">
        <v>3</v>
      </c>
      <c r="G16" s="29">
        <f t="shared" si="0"/>
        <v>0.94545454545454544</v>
      </c>
    </row>
    <row r="17" spans="1:7">
      <c r="A17" s="28" t="s">
        <v>80</v>
      </c>
      <c r="B17" s="23" t="s">
        <v>81</v>
      </c>
      <c r="C17" s="23">
        <v>220</v>
      </c>
      <c r="D17" s="23">
        <f>220-(E17+F17)</f>
        <v>211</v>
      </c>
      <c r="E17" s="23">
        <v>1</v>
      </c>
      <c r="F17" s="23">
        <v>8</v>
      </c>
      <c r="G17" s="29">
        <f t="shared" si="0"/>
        <v>0.95909090909090911</v>
      </c>
    </row>
    <row r="18" spans="1:7">
      <c r="A18" s="28" t="s">
        <v>84</v>
      </c>
      <c r="B18" s="23" t="s">
        <v>85</v>
      </c>
      <c r="C18" s="23">
        <v>220</v>
      </c>
      <c r="D18" s="23">
        <f>220-(E18+F18)</f>
        <v>204</v>
      </c>
      <c r="E18" s="23">
        <v>6</v>
      </c>
      <c r="F18" s="23">
        <v>10</v>
      </c>
      <c r="G18" s="29">
        <f t="shared" si="0"/>
        <v>0.92727272727272725</v>
      </c>
    </row>
    <row r="19" spans="1:7">
      <c r="A19" s="28" t="s">
        <v>88</v>
      </c>
      <c r="B19" s="23" t="s">
        <v>89</v>
      </c>
      <c r="C19" s="23">
        <v>220</v>
      </c>
      <c r="D19" s="23">
        <f>220-(E19+F19)</f>
        <v>205</v>
      </c>
      <c r="E19" s="23">
        <v>9</v>
      </c>
      <c r="F19" s="23">
        <v>6</v>
      </c>
      <c r="G19" s="29">
        <f t="shared" si="0"/>
        <v>0.93181818181818177</v>
      </c>
    </row>
    <row r="20" spans="1:7">
      <c r="A20" s="28" t="s">
        <v>92</v>
      </c>
      <c r="B20" s="23" t="s">
        <v>93</v>
      </c>
      <c r="C20" s="23">
        <v>220</v>
      </c>
      <c r="D20" s="23">
        <f>220-(E20+F20)</f>
        <v>186</v>
      </c>
      <c r="E20" s="23">
        <v>12</v>
      </c>
      <c r="F20" s="23">
        <v>22</v>
      </c>
      <c r="G20" s="29">
        <f t="shared" si="0"/>
        <v>0.84545454545454546</v>
      </c>
    </row>
    <row r="21" spans="1:7">
      <c r="A21" s="28" t="s">
        <v>96</v>
      </c>
      <c r="B21" s="23" t="s">
        <v>97</v>
      </c>
      <c r="C21" s="23">
        <v>220</v>
      </c>
      <c r="D21" s="23">
        <f>220-(E21+F21)</f>
        <v>193</v>
      </c>
      <c r="E21" s="23">
        <v>4</v>
      </c>
      <c r="F21" s="23">
        <v>23</v>
      </c>
      <c r="G21" s="29">
        <f t="shared" si="0"/>
        <v>0.87727272727272732</v>
      </c>
    </row>
    <row r="26" spans="1:7" ht="15.75">
      <c r="B26" s="47" t="s">
        <v>109</v>
      </c>
      <c r="C26" s="48"/>
      <c r="D26" s="49" t="s">
        <v>110</v>
      </c>
      <c r="E26" s="50"/>
    </row>
    <row r="27" spans="1:7" ht="15.75">
      <c r="B27" s="55" t="s">
        <v>111</v>
      </c>
      <c r="C27" s="56"/>
      <c r="D27" s="51">
        <f>COUNTA(A2:A21)</f>
        <v>20</v>
      </c>
      <c r="E27" s="52"/>
    </row>
    <row r="28" spans="1:7" ht="15.75">
      <c r="B28" s="57" t="s">
        <v>112</v>
      </c>
      <c r="C28" s="58"/>
      <c r="D28" s="43">
        <f>AVERAGE(D2:D21)</f>
        <v>196.7</v>
      </c>
      <c r="E28" s="44"/>
    </row>
    <row r="29" spans="1:7" ht="15.75">
      <c r="B29" s="57" t="s">
        <v>113</v>
      </c>
      <c r="C29" s="58"/>
      <c r="D29" s="43">
        <f>AVERAGE(E2:E21)</f>
        <v>8.1</v>
      </c>
      <c r="E29" s="44"/>
    </row>
    <row r="30" spans="1:7" ht="15.75">
      <c r="B30" s="57" t="s">
        <v>114</v>
      </c>
      <c r="C30" s="58"/>
      <c r="D30" s="43">
        <f>MAX(D2:D21)</f>
        <v>211</v>
      </c>
      <c r="E30" s="44"/>
    </row>
    <row r="31" spans="1:7" ht="15.75">
      <c r="B31" s="57" t="s">
        <v>115</v>
      </c>
      <c r="C31" s="58"/>
      <c r="D31" s="43">
        <f>MIN(D2:D21)</f>
        <v>176</v>
      </c>
      <c r="E31" s="44"/>
    </row>
    <row r="32" spans="1:7" ht="15.75">
      <c r="B32" s="53" t="s">
        <v>116</v>
      </c>
      <c r="C32" s="54"/>
      <c r="D32" s="45">
        <f>SUM(F2:F21)</f>
        <v>304</v>
      </c>
      <c r="E32" s="46"/>
    </row>
  </sheetData>
  <mergeCells count="14">
    <mergeCell ref="D31:E31"/>
    <mergeCell ref="D32:E32"/>
    <mergeCell ref="B26:C26"/>
    <mergeCell ref="D26:E26"/>
    <mergeCell ref="D27:E27"/>
    <mergeCell ref="D28:E28"/>
    <mergeCell ref="D29:E29"/>
    <mergeCell ref="D30:E30"/>
    <mergeCell ref="B32:C32"/>
    <mergeCell ref="B27:C27"/>
    <mergeCell ref="B28:C28"/>
    <mergeCell ref="B29:C29"/>
    <mergeCell ref="B30:C30"/>
    <mergeCell ref="B31:C3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5584-2B82-425E-8428-0418ED221ED2}">
  <sheetPr>
    <tabColor rgb="FF00B0F0"/>
  </sheetPr>
  <dimension ref="A1:Q28"/>
  <sheetViews>
    <sheetView topLeftCell="A9" workbookViewId="0">
      <selection activeCell="L13" sqref="L13:M13"/>
    </sheetView>
  </sheetViews>
  <sheetFormatPr defaultRowHeight="15"/>
  <cols>
    <col min="2" max="2" width="9.42578125" bestFit="1" customWidth="1"/>
    <col min="3" max="3" width="9.5703125" bestFit="1" customWidth="1"/>
    <col min="5" max="5" width="10.5703125" customWidth="1"/>
    <col min="6" max="6" width="13" style="7" customWidth="1"/>
    <col min="7" max="7" width="12.5703125" customWidth="1"/>
    <col min="8" max="8" width="11.42578125" style="7" bestFit="1" customWidth="1"/>
    <col min="9" max="9" width="12.5703125" style="7" customWidth="1"/>
    <col min="10" max="10" width="7.5703125" bestFit="1" customWidth="1"/>
    <col min="11" max="11" width="8.42578125" customWidth="1"/>
    <col min="12" max="12" width="10.7109375" customWidth="1"/>
  </cols>
  <sheetData>
    <row r="1" spans="1:17">
      <c r="A1" s="1"/>
      <c r="B1" s="1"/>
      <c r="C1" s="1"/>
      <c r="D1" s="1"/>
      <c r="E1" s="1"/>
      <c r="F1" s="6"/>
      <c r="G1" s="1"/>
      <c r="H1" s="6"/>
      <c r="I1" s="8"/>
    </row>
    <row r="2" spans="1:17" ht="31.5">
      <c r="A2" s="2"/>
      <c r="B2" s="82" t="s">
        <v>117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7">
      <c r="J3" s="3"/>
    </row>
    <row r="4" spans="1:17" ht="15.75">
      <c r="B4" s="100" t="s">
        <v>118</v>
      </c>
      <c r="C4" s="101"/>
      <c r="D4" s="100" t="s">
        <v>119</v>
      </c>
      <c r="E4" s="101"/>
      <c r="F4" s="102" t="s">
        <v>120</v>
      </c>
      <c r="G4" s="103"/>
      <c r="H4" s="102" t="s">
        <v>121</v>
      </c>
      <c r="I4" s="103"/>
      <c r="J4" s="106" t="s">
        <v>122</v>
      </c>
      <c r="K4" s="107"/>
      <c r="L4" s="108"/>
    </row>
    <row r="5" spans="1:17" ht="23.25" customHeight="1">
      <c r="B5" s="91">
        <f>COUNTA(Tabella5[ID])</f>
        <v>20</v>
      </c>
      <c r="C5" s="92"/>
      <c r="D5" s="110">
        <f>AVERAGE(Tabella3[Presenze])</f>
        <v>196.7</v>
      </c>
      <c r="E5" s="111"/>
      <c r="F5" s="110">
        <f>AVERAGE(Tabella3[Assenze])</f>
        <v>8.1</v>
      </c>
      <c r="G5" s="111"/>
      <c r="H5" s="114">
        <f>SUM(Tabella3[Ferie])</f>
        <v>304</v>
      </c>
      <c r="I5" s="115"/>
      <c r="J5" s="85">
        <f>AVERAGE(Tabella5[Stipendio mensile])</f>
        <v>2245.8333333333335</v>
      </c>
      <c r="K5" s="86"/>
      <c r="L5" s="87"/>
    </row>
    <row r="6" spans="1:17" ht="15" customHeight="1">
      <c r="B6" s="93"/>
      <c r="C6" s="94"/>
      <c r="D6" s="112"/>
      <c r="E6" s="113"/>
      <c r="F6" s="112"/>
      <c r="G6" s="113"/>
      <c r="H6" s="116"/>
      <c r="I6" s="117"/>
      <c r="J6" s="88"/>
      <c r="K6" s="89"/>
      <c r="L6" s="90"/>
    </row>
    <row r="7" spans="1:17">
      <c r="J7" s="3"/>
    </row>
    <row r="8" spans="1:17">
      <c r="J8" s="3"/>
    </row>
    <row r="9" spans="1:17" ht="23.25">
      <c r="B9" s="95" t="s">
        <v>123</v>
      </c>
      <c r="C9" s="96"/>
      <c r="D9" s="96"/>
      <c r="E9" s="96"/>
      <c r="F9" s="96"/>
      <c r="I9" s="83" t="s">
        <v>124</v>
      </c>
      <c r="J9" s="83"/>
      <c r="K9" s="83"/>
    </row>
    <row r="10" spans="1:17" ht="18.75">
      <c r="B10" s="97" t="s">
        <v>125</v>
      </c>
      <c r="C10" s="98"/>
      <c r="D10" s="109" t="s">
        <v>126</v>
      </c>
      <c r="E10" s="99"/>
      <c r="I10" s="104" t="s">
        <v>127</v>
      </c>
      <c r="J10" s="105"/>
      <c r="K10" s="105"/>
      <c r="L10" s="98" t="s">
        <v>126</v>
      </c>
      <c r="M10" s="99"/>
    </row>
    <row r="11" spans="1:17" ht="15.75">
      <c r="B11" s="67" t="s">
        <v>112</v>
      </c>
      <c r="C11" s="67"/>
      <c r="D11" s="84">
        <f>AVERAGE(Tabella3[Presenze])</f>
        <v>196.7</v>
      </c>
      <c r="E11" s="84"/>
      <c r="I11" s="78" t="s">
        <v>128</v>
      </c>
      <c r="J11" s="78"/>
      <c r="K11" s="78"/>
      <c r="L11" s="75">
        <f>AVERAGE(Tabella5[Stipendio annuo])</f>
        <v>26950</v>
      </c>
      <c r="M11" s="75"/>
    </row>
    <row r="12" spans="1:17" ht="15.75">
      <c r="B12" s="67" t="s">
        <v>113</v>
      </c>
      <c r="C12" s="67"/>
      <c r="D12" s="84">
        <f>AVERAGE(Tabella3[Assenze])</f>
        <v>8.1</v>
      </c>
      <c r="E12" s="84"/>
      <c r="I12" s="78" t="s">
        <v>129</v>
      </c>
      <c r="J12" s="78"/>
      <c r="K12" s="78"/>
      <c r="L12" s="75">
        <f>MAX(Tabella5[Stipendio annuo])</f>
        <v>31000</v>
      </c>
      <c r="M12" s="75"/>
    </row>
    <row r="13" spans="1:17" ht="15.75">
      <c r="B13" s="67" t="s">
        <v>130</v>
      </c>
      <c r="C13" s="67"/>
      <c r="D13" s="80">
        <f>MIN(Tabella3[Presenze])</f>
        <v>176</v>
      </c>
      <c r="E13" s="80"/>
      <c r="I13" s="78" t="s">
        <v>131</v>
      </c>
      <c r="J13" s="78"/>
      <c r="K13" s="78"/>
      <c r="L13" s="76">
        <f>MIN(Tabella5[Stipendio annuo])</f>
        <v>23000</v>
      </c>
      <c r="M13" s="76"/>
    </row>
    <row r="14" spans="1:17" ht="15.75">
      <c r="B14" s="67" t="s">
        <v>132</v>
      </c>
      <c r="C14" s="67"/>
      <c r="D14" s="80">
        <f>MAX(Tabella3[Presenze])</f>
        <v>211</v>
      </c>
      <c r="E14" s="80"/>
      <c r="H14" s="11"/>
      <c r="I14" s="79" t="s">
        <v>133</v>
      </c>
      <c r="J14" s="79"/>
      <c r="K14" s="79"/>
      <c r="L14" s="77">
        <f>AVERAGE(Tabella5[Stipendio mensile])</f>
        <v>2245.8333333333335</v>
      </c>
      <c r="M14" s="77"/>
    </row>
    <row r="15" spans="1:17" ht="15.75">
      <c r="B15" s="68" t="s">
        <v>116</v>
      </c>
      <c r="C15" s="68"/>
      <c r="D15" s="81">
        <f>SUM(Tabella3[Ferie])</f>
        <v>304</v>
      </c>
      <c r="E15" s="81"/>
      <c r="H15" s="11"/>
      <c r="K15" s="11"/>
      <c r="L15" s="19"/>
      <c r="M15" s="19"/>
      <c r="N15" s="19"/>
      <c r="O15" s="19"/>
      <c r="P15" s="19"/>
      <c r="Q15" s="19"/>
    </row>
    <row r="16" spans="1:17" ht="15.75">
      <c r="H16" s="11"/>
      <c r="K16" s="11"/>
      <c r="L16" s="19"/>
      <c r="M16" s="20"/>
      <c r="N16" s="20"/>
      <c r="O16" s="20"/>
      <c r="P16" s="20"/>
      <c r="Q16" s="19"/>
    </row>
    <row r="17" spans="5:17">
      <c r="H17" s="11"/>
      <c r="K17" s="11"/>
      <c r="L17" s="19"/>
      <c r="M17" s="21"/>
      <c r="N17" s="19"/>
      <c r="O17" s="19"/>
      <c r="P17" s="21"/>
      <c r="Q17" s="19"/>
    </row>
    <row r="18" spans="5:17" ht="23.25">
      <c r="E18" s="66" t="s">
        <v>134</v>
      </c>
      <c r="F18" s="66"/>
      <c r="G18" s="66"/>
      <c r="H18" s="66"/>
      <c r="K18" s="11"/>
      <c r="L18" s="19"/>
      <c r="M18" s="21"/>
      <c r="N18" s="13"/>
      <c r="O18" s="14"/>
      <c r="P18" s="21"/>
      <c r="Q18" s="19"/>
    </row>
    <row r="19" spans="5:17" ht="18.75">
      <c r="E19" s="73" t="s">
        <v>135</v>
      </c>
      <c r="F19" s="74"/>
      <c r="G19" s="74"/>
      <c r="H19" s="72" t="s">
        <v>126</v>
      </c>
      <c r="I19" s="72"/>
      <c r="K19" s="11"/>
      <c r="L19" s="19"/>
      <c r="M19" s="21"/>
      <c r="N19" s="13"/>
      <c r="O19" s="13"/>
      <c r="P19" s="21"/>
      <c r="Q19" s="19"/>
    </row>
    <row r="20" spans="5:17" ht="15.75">
      <c r="E20" s="67" t="s">
        <v>136</v>
      </c>
      <c r="F20" s="67"/>
      <c r="G20" s="67"/>
      <c r="H20" s="69">
        <f>COUNTA(Tabella5[ID])</f>
        <v>20</v>
      </c>
      <c r="I20" s="69"/>
      <c r="K20" s="11"/>
      <c r="L20" s="19"/>
      <c r="M20" s="21"/>
      <c r="N20" s="13"/>
      <c r="O20" s="14"/>
      <c r="P20" s="21"/>
      <c r="Q20" s="19"/>
    </row>
    <row r="21" spans="5:17" ht="15.75">
      <c r="E21" s="67" t="s">
        <v>137</v>
      </c>
      <c r="F21" s="67"/>
      <c r="G21" s="67"/>
      <c r="H21" s="69">
        <f>MIN(Tabella5[Età])</f>
        <v>20</v>
      </c>
      <c r="I21" s="69"/>
      <c r="J21" s="10"/>
      <c r="K21" s="11"/>
      <c r="L21" s="19"/>
      <c r="M21" s="21"/>
      <c r="N21" s="13"/>
      <c r="O21" s="15"/>
      <c r="P21" s="21"/>
      <c r="Q21" s="19"/>
    </row>
    <row r="22" spans="5:17" ht="15.75">
      <c r="E22" s="67" t="s">
        <v>138</v>
      </c>
      <c r="F22" s="67"/>
      <c r="G22" s="67"/>
      <c r="H22" s="69">
        <f>MAX(Tabella5[Età])</f>
        <v>63</v>
      </c>
      <c r="I22" s="69"/>
      <c r="M22" s="9"/>
      <c r="N22" s="13"/>
      <c r="O22" s="16"/>
      <c r="P22" s="9"/>
    </row>
    <row r="23" spans="5:17" ht="15.75">
      <c r="E23" s="67" t="s">
        <v>139</v>
      </c>
      <c r="F23" s="67"/>
      <c r="G23" s="67"/>
      <c r="H23" s="70">
        <f>MIN(Tabella5[Stipendio mensile])</f>
        <v>1916.6666666666667</v>
      </c>
      <c r="I23" s="70"/>
      <c r="M23" s="9"/>
      <c r="N23" s="13"/>
      <c r="O23" s="16"/>
      <c r="P23" s="9"/>
    </row>
    <row r="24" spans="5:17" ht="15.75">
      <c r="E24" s="68" t="s">
        <v>140</v>
      </c>
      <c r="F24" s="68"/>
      <c r="G24" s="68"/>
      <c r="H24" s="71">
        <f>MAX(Tabella5[Stipendio mensile])</f>
        <v>2583.3333333333335</v>
      </c>
      <c r="I24" s="71"/>
      <c r="M24" s="9"/>
      <c r="N24" s="13"/>
      <c r="O24" s="16"/>
      <c r="P24" s="9"/>
    </row>
    <row r="25" spans="5:17">
      <c r="M25" s="9"/>
      <c r="N25" s="17"/>
      <c r="O25" s="18"/>
      <c r="P25" s="9"/>
    </row>
    <row r="26" spans="5:17">
      <c r="M26" s="9"/>
      <c r="N26" s="17"/>
      <c r="O26" s="18"/>
      <c r="P26" s="9"/>
    </row>
    <row r="27" spans="5:17">
      <c r="N27" s="17"/>
      <c r="O27" s="18"/>
    </row>
    <row r="28" spans="5:17">
      <c r="N28" s="19"/>
      <c r="O28" s="19"/>
    </row>
  </sheetData>
  <mergeCells count="48">
    <mergeCell ref="B4:C4"/>
    <mergeCell ref="D4:E4"/>
    <mergeCell ref="F4:G4"/>
    <mergeCell ref="H4:I4"/>
    <mergeCell ref="B14:C14"/>
    <mergeCell ref="I10:K10"/>
    <mergeCell ref="J4:L4"/>
    <mergeCell ref="D10:E10"/>
    <mergeCell ref="F5:G6"/>
    <mergeCell ref="D5:E6"/>
    <mergeCell ref="H5:I6"/>
    <mergeCell ref="B15:C15"/>
    <mergeCell ref="D14:E14"/>
    <mergeCell ref="D15:E15"/>
    <mergeCell ref="B2:L2"/>
    <mergeCell ref="I9:K9"/>
    <mergeCell ref="B11:C11"/>
    <mergeCell ref="B12:C12"/>
    <mergeCell ref="B13:C13"/>
    <mergeCell ref="D11:E11"/>
    <mergeCell ref="D12:E12"/>
    <mergeCell ref="D13:E13"/>
    <mergeCell ref="J5:L6"/>
    <mergeCell ref="B5:C6"/>
    <mergeCell ref="B9:F9"/>
    <mergeCell ref="B10:C10"/>
    <mergeCell ref="L10:M10"/>
    <mergeCell ref="L11:M11"/>
    <mergeCell ref="L12:M12"/>
    <mergeCell ref="L13:M13"/>
    <mergeCell ref="L14:M14"/>
    <mergeCell ref="I11:K11"/>
    <mergeCell ref="I12:K12"/>
    <mergeCell ref="I13:K13"/>
    <mergeCell ref="I14:K14"/>
    <mergeCell ref="E18:H18"/>
    <mergeCell ref="E22:G22"/>
    <mergeCell ref="E23:G23"/>
    <mergeCell ref="E24:G24"/>
    <mergeCell ref="H20:I20"/>
    <mergeCell ref="H21:I21"/>
    <mergeCell ref="H22:I22"/>
    <mergeCell ref="H23:I23"/>
    <mergeCell ref="H24:I24"/>
    <mergeCell ref="H19:I19"/>
    <mergeCell ref="E19:G19"/>
    <mergeCell ref="E20:G20"/>
    <mergeCell ref="E21:G21"/>
  </mergeCells>
  <conditionalFormatting sqref="L11:M14">
    <cfRule type="cellIs" dxfId="0" priority="2" operator="greater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2026-09-28T22:17:01Z</dcterms:created>
  <dcterms:modified xsi:type="dcterms:W3CDTF">2026-09-30T15:08:06Z</dcterms:modified>
  <cp:category/>
  <cp:contentStatus/>
</cp:coreProperties>
</file>