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8EB7C494-4587-4755-AE51-446C10F649CB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articipants" sheetId="1" r:id="rId1"/>
    <sheet name="Training Attendance" sheetId="2" r:id="rId2"/>
    <sheet name="Training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2" l="1"/>
  <c r="C5" i="3"/>
  <c r="C6" i="3"/>
  <c r="C8" i="3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4" i="2"/>
  <c r="C7" i="3" l="1"/>
  <c r="J4" i="2"/>
  <c r="C11" i="3" l="1"/>
  <c r="C10" i="3"/>
  <c r="C9" i="3"/>
</calcChain>
</file>

<file path=xl/sharedStrings.xml><?xml version="1.0" encoding="utf-8"?>
<sst xmlns="http://schemas.openxmlformats.org/spreadsheetml/2006/main" count="269" uniqueCount="156">
  <si>
    <r>
      <rPr>
        <b/>
        <sz val="12"/>
        <color rgb="FF000000"/>
        <rFont val="Aptos Narrow"/>
        <scheme val="minor"/>
      </rPr>
      <t>Titolo corso</t>
    </r>
    <r>
      <rPr>
        <sz val="12"/>
        <color rgb="FF000000"/>
        <rFont val="Aptos Narrow"/>
        <scheme val="minor"/>
      </rPr>
      <t>: Excel per l'analisi dei dati HR</t>
    </r>
  </si>
  <si>
    <r>
      <rPr>
        <b/>
        <sz val="12"/>
        <color rgb="FF000000"/>
        <rFont val="Aptos Narrow"/>
        <scheme val="minor"/>
      </rPr>
      <t>Durata</t>
    </r>
    <r>
      <rPr>
        <sz val="12"/>
        <color rgb="FF000000"/>
        <rFont val="Aptos Narrow"/>
        <scheme val="minor"/>
      </rPr>
      <t>: 25 ore</t>
    </r>
  </si>
  <si>
    <r>
      <rPr>
        <b/>
        <sz val="12"/>
        <color rgb="FF000000"/>
        <rFont val="Aptos Narrow"/>
        <scheme val="minor"/>
      </rPr>
      <t>Numero incontri</t>
    </r>
    <r>
      <rPr>
        <sz val="12"/>
        <color rgb="FF000000"/>
        <rFont val="Aptos Narrow"/>
        <scheme val="minor"/>
      </rPr>
      <t>: 5</t>
    </r>
  </si>
  <si>
    <r>
      <rPr>
        <b/>
        <sz val="12"/>
        <color rgb="FF000000"/>
        <rFont val="Aptos Narrow"/>
        <scheme val="minor"/>
      </rPr>
      <t>Formatore</t>
    </r>
    <r>
      <rPr>
        <sz val="12"/>
        <color rgb="FF000000"/>
        <rFont val="Aptos Narrow"/>
        <scheme val="minor"/>
      </rPr>
      <t>: Riccardo Lucchi</t>
    </r>
  </si>
  <si>
    <r>
      <rPr>
        <b/>
        <sz val="12"/>
        <color rgb="FF000000"/>
        <rFont val="Aptos Narrow"/>
        <scheme val="minor"/>
      </rPr>
      <t>Periodo</t>
    </r>
    <r>
      <rPr>
        <sz val="12"/>
        <color rgb="FF000000"/>
        <rFont val="Aptos Narrow"/>
        <scheme val="minor"/>
      </rPr>
      <t>: settembre-ottobre 2026</t>
    </r>
  </si>
  <si>
    <t>PARTICIPANTS</t>
  </si>
  <si>
    <t>ID</t>
  </si>
  <si>
    <t>Nome</t>
  </si>
  <si>
    <t>Cognome</t>
  </si>
  <si>
    <t>Reparto</t>
  </si>
  <si>
    <t>Ruolo</t>
  </si>
  <si>
    <t>Data di assunzione</t>
  </si>
  <si>
    <t>Tipo contratto</t>
  </si>
  <si>
    <t>E001</t>
  </si>
  <si>
    <t>Marco</t>
  </si>
  <si>
    <t>Verte</t>
  </si>
  <si>
    <t>IT</t>
  </si>
  <si>
    <t>IT Support Specialist</t>
  </si>
  <si>
    <t>Indeterminato</t>
  </si>
  <si>
    <t>E002</t>
  </si>
  <si>
    <t>Luisa</t>
  </si>
  <si>
    <t>Sacchi</t>
  </si>
  <si>
    <t>Marketing</t>
  </si>
  <si>
    <t>Marketing Specialist</t>
  </si>
  <si>
    <t>Somministrazione</t>
  </si>
  <si>
    <t>E003</t>
  </si>
  <si>
    <t>Enzo</t>
  </si>
  <si>
    <t>Fridano</t>
  </si>
  <si>
    <t>Customer Service</t>
  </si>
  <si>
    <t>Helpdesk Specialist</t>
  </si>
  <si>
    <t>Determinato</t>
  </si>
  <si>
    <t>E004</t>
  </si>
  <si>
    <t>Luigi</t>
  </si>
  <si>
    <t>Mancusi</t>
  </si>
  <si>
    <t>Social Media Specialist</t>
  </si>
  <si>
    <t>E005</t>
  </si>
  <si>
    <t>Sara</t>
  </si>
  <si>
    <t>Ginepri</t>
  </si>
  <si>
    <t>HR</t>
  </si>
  <si>
    <t>Talent Acquisition Specialist</t>
  </si>
  <si>
    <t>E006</t>
  </si>
  <si>
    <t>Carlo</t>
  </si>
  <si>
    <t>Botta</t>
  </si>
  <si>
    <t>Logistica</t>
  </si>
  <si>
    <t>Logistics Coordinator</t>
  </si>
  <si>
    <t>E007</t>
  </si>
  <si>
    <t>Franca</t>
  </si>
  <si>
    <t>Castelli</t>
  </si>
  <si>
    <t>Learning &amp; Development Specialist</t>
  </si>
  <si>
    <t>E008</t>
  </si>
  <si>
    <t>Miriam</t>
  </si>
  <si>
    <t>Marziano</t>
  </si>
  <si>
    <t>Sales</t>
  </si>
  <si>
    <t>Account Manager</t>
  </si>
  <si>
    <t>E009</t>
  </si>
  <si>
    <t>Anna</t>
  </si>
  <si>
    <t>Verzi</t>
  </si>
  <si>
    <t>HR Administration Specialist</t>
  </si>
  <si>
    <t>E010</t>
  </si>
  <si>
    <t>Karim</t>
  </si>
  <si>
    <t>Koraini</t>
  </si>
  <si>
    <t>Warehouse Coordinator</t>
  </si>
  <si>
    <t>E011</t>
  </si>
  <si>
    <t>Alfredo</t>
  </si>
  <si>
    <t>Seppi</t>
  </si>
  <si>
    <t>Compensation &amp; Benefits Specialist</t>
  </si>
  <si>
    <t>E012</t>
  </si>
  <si>
    <t>Gianni</t>
  </si>
  <si>
    <t>Marchion</t>
  </si>
  <si>
    <t>Customer Care Agent</t>
  </si>
  <si>
    <t>E013</t>
  </si>
  <si>
    <t>Marina</t>
  </si>
  <si>
    <t>Severi</t>
  </si>
  <si>
    <t>Finance</t>
  </si>
  <si>
    <t>Accountant</t>
  </si>
  <si>
    <t>E014</t>
  </si>
  <si>
    <t>Saladini</t>
  </si>
  <si>
    <t>Marsala</t>
  </si>
  <si>
    <t>Supply Chain Specialist</t>
  </si>
  <si>
    <t>E015</t>
  </si>
  <si>
    <t>Marfez</t>
  </si>
  <si>
    <t>Agrippa</t>
  </si>
  <si>
    <t>Controller</t>
  </si>
  <si>
    <t>E016</t>
  </si>
  <si>
    <t>Adreas</t>
  </si>
  <si>
    <t>Sanchez</t>
  </si>
  <si>
    <t>System Administrator</t>
  </si>
  <si>
    <t>E017</t>
  </si>
  <si>
    <t>Simon</t>
  </si>
  <si>
    <t>Arper</t>
  </si>
  <si>
    <t>Account Executive</t>
  </si>
  <si>
    <t>E018</t>
  </si>
  <si>
    <t>Lulù</t>
  </si>
  <si>
    <t>Corvi</t>
  </si>
  <si>
    <t>Digital Marketing Specialist</t>
  </si>
  <si>
    <t>E019</t>
  </si>
  <si>
    <t>Massimia</t>
  </si>
  <si>
    <t>Levi</t>
  </si>
  <si>
    <t>HR Business Partner</t>
  </si>
  <si>
    <t>E020</t>
  </si>
  <si>
    <t>Stefano</t>
  </si>
  <si>
    <t>Roi</t>
  </si>
  <si>
    <t>Training Specialist</t>
  </si>
  <si>
    <t>ATTENDANCE</t>
  </si>
  <si>
    <t>Partecipanti</t>
  </si>
  <si>
    <t>Incontro 1</t>
  </si>
  <si>
    <t>Incontro 2</t>
  </si>
  <si>
    <t>Incontro 3</t>
  </si>
  <si>
    <t>Incontro 4</t>
  </si>
  <si>
    <t>Incontro 5</t>
  </si>
  <si>
    <t>Numero presenze</t>
  </si>
  <si>
    <t>Ore frequentate</t>
  </si>
  <si>
    <t>% Frequenza</t>
  </si>
  <si>
    <t>Marco Verte</t>
  </si>
  <si>
    <t>Presente=1</t>
  </si>
  <si>
    <t>Assente=0</t>
  </si>
  <si>
    <t>Luisa Sacchi</t>
  </si>
  <si>
    <t>Enzo Fridano</t>
  </si>
  <si>
    <t>Parametro</t>
  </si>
  <si>
    <t xml:space="preserve">Valore </t>
  </si>
  <si>
    <t>Luigi Mancusi</t>
  </si>
  <si>
    <t>Durata incontro (ore)</t>
  </si>
  <si>
    <t>Sara Ginepri</t>
  </si>
  <si>
    <t>Durata complessiva (ore)</t>
  </si>
  <si>
    <t>Carlo Botta</t>
  </si>
  <si>
    <t>Franca Castelli</t>
  </si>
  <si>
    <t>Miriam Marziano</t>
  </si>
  <si>
    <t>Anna Verzi</t>
  </si>
  <si>
    <t>Karim Koraini</t>
  </si>
  <si>
    <t>Alfredo Seppi</t>
  </si>
  <si>
    <t>Gianni Marchion</t>
  </si>
  <si>
    <t>Marina Severi</t>
  </si>
  <si>
    <t>Saladini Marsala</t>
  </si>
  <si>
    <t>Marfez Agrippa</t>
  </si>
  <si>
    <t>Adreas Sanchez</t>
  </si>
  <si>
    <t>Simon Arper</t>
  </si>
  <si>
    <t>Lulù Corvi</t>
  </si>
  <si>
    <t>Massimia Levi</t>
  </si>
  <si>
    <t>Stefano Roi</t>
  </si>
  <si>
    <t>TRAINING SUMMARY</t>
  </si>
  <si>
    <t>KPI</t>
  </si>
  <si>
    <t>Risultato</t>
  </si>
  <si>
    <t>Ore totali del corso</t>
  </si>
  <si>
    <t>Media ore frequentate</t>
  </si>
  <si>
    <t>Numero incontri</t>
  </si>
  <si>
    <t>Presenze totali</t>
  </si>
  <si>
    <t>Ore per incontro</t>
  </si>
  <si>
    <t>Frequenza media</t>
  </si>
  <si>
    <t>Massima frequenza</t>
  </si>
  <si>
    <t>Minima frequenza</t>
  </si>
  <si>
    <t>PARTICIPANT STATUS TRACKER</t>
  </si>
  <si>
    <t>Stato</t>
  </si>
  <si>
    <t>Da monitorare</t>
  </si>
  <si>
    <t>Attenzione</t>
  </si>
  <si>
    <t>Regolare</t>
  </si>
  <si>
    <t>Da rifare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</si>
</sst>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>
    <font>
      <sz val="11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</font>
    <font>
      <b/>
      <sz val="12"/>
      <color theme="1"/>
      <name val="Aptos Narrow"/>
      <family val="2"/>
      <scheme val="minor"/>
    </font>
    <font>
      <b/>
      <sz val="18"/>
      <color rgb="FF7E350E"/>
      <name val="Aptos Narrow"/>
      <scheme val="minor"/>
    </font>
    <font>
      <b/>
      <sz val="20"/>
      <color rgb="FF7E350E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4"/>
      <color theme="1"/>
      <name val="Aptos Narrow"/>
      <family val="2"/>
      <scheme val="minor"/>
    </font>
    <font>
      <b/>
      <sz val="18"/>
      <color rgb="FFFF0000"/>
      <name val="Aptos Narrow"/>
      <scheme val="minor"/>
    </font>
    <font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A7A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0" borderId="6" xfId="0" applyFont="1" applyBorder="1" applyAlignment="1">
      <alignment horizontal="center"/>
    </xf>
    <xf numFmtId="0" fontId="4" fillId="0" borderId="11" xfId="0" applyFont="1" applyFill="1" applyBorder="1" applyAlignment="1"/>
    <xf numFmtId="10" fontId="0" fillId="0" borderId="0" xfId="0" applyNumberFormat="1"/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4" fontId="4" fillId="0" borderId="11" xfId="0" applyNumberFormat="1" applyFont="1" applyFill="1" applyBorder="1" applyAlignment="1"/>
    <xf numFmtId="0" fontId="5" fillId="0" borderId="15" xfId="0" applyFont="1" applyFill="1" applyBorder="1" applyAlignment="1"/>
    <xf numFmtId="0" fontId="3" fillId="0" borderId="16" xfId="0" applyFont="1" applyFill="1" applyBorder="1" applyAlignment="1"/>
    <xf numFmtId="0" fontId="3" fillId="0" borderId="16" xfId="0" applyFont="1" applyFill="1" applyBorder="1" applyAlignment="1">
      <alignment wrapText="1"/>
    </xf>
    <xf numFmtId="0" fontId="3" fillId="0" borderId="17" xfId="0" applyFont="1" applyFill="1" applyBorder="1" applyAlignment="1"/>
    <xf numFmtId="0" fontId="7" fillId="0" borderId="0" xfId="0" applyFont="1" applyFill="1" applyAlignment="1">
      <alignment horizontal="center"/>
    </xf>
    <xf numFmtId="0" fontId="6" fillId="0" borderId="12" xfId="0" applyFont="1" applyBorder="1" applyAlignment="1">
      <alignment horizontal="center"/>
    </xf>
    <xf numFmtId="0" fontId="5" fillId="4" borderId="7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4" borderId="8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8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0" fontId="1" fillId="4" borderId="9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0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2" borderId="0" xfId="0" applyFont="1" applyFill="1" applyAlignment="1">
      <alignment horizontal="center"/>
    </xf>
    <xf numFmtId="9" fontId="0" fillId="0" borderId="0" xfId="0" applyNumberFormat="1"/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9" fontId="11" fillId="0" borderId="11" xfId="0" applyNumberFormat="1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9" fontId="11" fillId="0" borderId="5" xfId="0" applyNumberFormat="1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0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164" fontId="6" fillId="5" borderId="9" xfId="0" applyNumberFormat="1" applyFont="1" applyFill="1" applyBorder="1" applyAlignment="1">
      <alignment horizontal="center"/>
    </xf>
    <xf numFmtId="0" fontId="0" fillId="0" borderId="10" xfId="0" applyBorder="1"/>
    <xf numFmtId="0" fontId="11" fillId="0" borderId="11" xfId="0" applyFont="1" applyBorder="1"/>
    <xf numFmtId="0" fontId="0" fillId="0" borderId="4" xfId="0" applyBorder="1"/>
    <xf numFmtId="0" fontId="11" fillId="0" borderId="5" xfId="0" applyFont="1" applyBorder="1"/>
    <xf numFmtId="0" fontId="13" fillId="5" borderId="7" xfId="0" applyFont="1" applyFill="1" applyBorder="1"/>
    <xf numFmtId="0" fontId="10" fillId="5" borderId="8" xfId="0" applyFont="1" applyFill="1" applyBorder="1" applyAlignment="1">
      <alignment horizontal="center"/>
    </xf>
    <xf numFmtId="9" fontId="10" fillId="5" borderId="8" xfId="0" applyNumberFormat="1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9" fontId="11" fillId="6" borderId="11" xfId="0" applyNumberFormat="1" applyFont="1" applyFill="1" applyBorder="1"/>
    <xf numFmtId="0" fontId="11" fillId="6" borderId="12" xfId="0" applyFont="1" applyFill="1" applyBorder="1"/>
    <xf numFmtId="0" fontId="12" fillId="6" borderId="12" xfId="0" applyFont="1" applyFill="1" applyBorder="1" applyAlignment="1"/>
    <xf numFmtId="9" fontId="11" fillId="7" borderId="11" xfId="0" applyNumberFormat="1" applyFont="1" applyFill="1" applyBorder="1"/>
    <xf numFmtId="0" fontId="11" fillId="7" borderId="12" xfId="0" applyFont="1" applyFill="1" applyBorder="1"/>
    <xf numFmtId="9" fontId="11" fillId="7" borderId="5" xfId="0" applyNumberFormat="1" applyFont="1" applyFill="1" applyBorder="1"/>
    <xf numFmtId="0" fontId="11" fillId="7" borderId="6" xfId="0" applyFont="1" applyFill="1" applyBorder="1"/>
    <xf numFmtId="9" fontId="11" fillId="3" borderId="11" xfId="0" applyNumberFormat="1" applyFont="1" applyFill="1" applyBorder="1"/>
    <xf numFmtId="0" fontId="11" fillId="3" borderId="12" xfId="0" applyFont="1" applyFill="1" applyBorder="1"/>
    <xf numFmtId="9" fontId="11" fillId="8" borderId="11" xfId="0" applyNumberFormat="1" applyFont="1" applyFill="1" applyBorder="1"/>
    <xf numFmtId="0" fontId="11" fillId="8" borderId="12" xfId="0" applyFont="1" applyFill="1" applyBorder="1"/>
    <xf numFmtId="0" fontId="14" fillId="0" borderId="18" xfId="0" applyFont="1" applyBorder="1" applyAlignment="1">
      <alignment horizontal="left"/>
    </xf>
    <xf numFmtId="0" fontId="15" fillId="0" borderId="18" xfId="0" applyFont="1" applyBorder="1" applyAlignment="1">
      <alignment horizontal="left"/>
    </xf>
  </cellXfs>
  <cellStyles count="1">
    <cellStyle name="Normale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border outline="0">
        <bottom style="double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FF7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6171A3-79D3-4C5D-B360-8B05659FCECD}" name="Tabella2" displayName="Tabella2" ref="A9:G29" totalsRowShown="0" headerRowDxfId="10" dataDxfId="9" headerRowBorderDxfId="7" tableBorderDxfId="8">
  <autoFilter ref="A9:G29" xr:uid="{D46171A3-79D3-4C5D-B360-8B05659FCECD}"/>
  <tableColumns count="7">
    <tableColumn id="1" xr3:uid="{856ADAC5-9355-4200-BE61-28A636A966CB}" name="ID" dataDxfId="6"/>
    <tableColumn id="2" xr3:uid="{1AFEB227-AC02-4E77-AAC5-6673F05808AA}" name="Nome" dataDxfId="5"/>
    <tableColumn id="3" xr3:uid="{F814382B-39F0-41CB-AB5C-85EEBF3EB095}" name="Cognome" dataDxfId="4"/>
    <tableColumn id="4" xr3:uid="{414A43E6-27EF-4050-8902-3C3B0661BE94}" name="Reparto" dataDxfId="3"/>
    <tableColumn id="5" xr3:uid="{D16C2226-2B79-4AA2-B2AD-480E5581416D}" name="Ruolo" dataDxfId="2"/>
    <tableColumn id="6" xr3:uid="{372A50E0-1FDE-4615-93DB-15A2033C0750}" name="Data di assunzione" dataDxfId="1"/>
    <tableColumn id="7" xr3:uid="{6C44FB9B-CD9C-4EAF-A15B-BDF0DED17C93}" name="Tipo contratto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2:G29"/>
  <sheetViews>
    <sheetView workbookViewId="0">
      <selection activeCell="D17" sqref="D17"/>
    </sheetView>
  </sheetViews>
  <sheetFormatPr defaultRowHeight="15"/>
  <cols>
    <col min="1" max="1" width="9" customWidth="1"/>
    <col min="2" max="2" width="9.42578125" bestFit="1" customWidth="1"/>
    <col min="3" max="3" width="12.42578125" bestFit="1" customWidth="1"/>
    <col min="4" max="4" width="17" bestFit="1" customWidth="1"/>
    <col min="5" max="5" width="32.7109375" bestFit="1" customWidth="1"/>
    <col min="6" max="6" width="13.7109375" bestFit="1" customWidth="1"/>
    <col min="7" max="7" width="17" bestFit="1" customWidth="1"/>
  </cols>
  <sheetData>
    <row r="2" spans="1:7" ht="15.75">
      <c r="A2" s="2" t="s">
        <v>0</v>
      </c>
      <c r="B2" s="1"/>
      <c r="C2" s="1"/>
      <c r="D2" s="1"/>
      <c r="E2" s="1"/>
    </row>
    <row r="3" spans="1:7" ht="15.75">
      <c r="A3" s="37" t="s">
        <v>1</v>
      </c>
      <c r="B3" s="38"/>
      <c r="C3" s="27"/>
      <c r="D3" s="27"/>
    </row>
    <row r="4" spans="1:7" ht="15.75">
      <c r="A4" s="37" t="s">
        <v>2</v>
      </c>
      <c r="B4" s="38"/>
      <c r="C4" s="27"/>
      <c r="D4" s="27"/>
    </row>
    <row r="5" spans="1:7" ht="15.75">
      <c r="A5" s="37" t="s">
        <v>3</v>
      </c>
      <c r="B5" s="38"/>
      <c r="C5" s="38"/>
      <c r="D5" s="27"/>
    </row>
    <row r="6" spans="1:7" ht="15.75">
      <c r="A6" s="37" t="s">
        <v>4</v>
      </c>
      <c r="B6" s="38"/>
      <c r="C6" s="38"/>
      <c r="D6" s="38"/>
    </row>
    <row r="7" spans="1:7" ht="24">
      <c r="C7" s="16"/>
      <c r="D7" s="39" t="s">
        <v>5</v>
      </c>
      <c r="E7" s="39"/>
      <c r="F7" s="39"/>
    </row>
    <row r="9" spans="1:7" ht="32.25">
      <c r="A9" s="12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4" t="s">
        <v>11</v>
      </c>
      <c r="G9" s="15" t="s">
        <v>12</v>
      </c>
    </row>
    <row r="10" spans="1:7">
      <c r="A10" s="10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11">
        <v>44844</v>
      </c>
      <c r="G10" s="9" t="s">
        <v>18</v>
      </c>
    </row>
    <row r="11" spans="1:7">
      <c r="A11" s="10" t="s">
        <v>19</v>
      </c>
      <c r="B11" s="7" t="s">
        <v>20</v>
      </c>
      <c r="C11" s="7" t="s">
        <v>21</v>
      </c>
      <c r="D11" s="7" t="s">
        <v>22</v>
      </c>
      <c r="E11" s="7" t="s">
        <v>23</v>
      </c>
      <c r="F11" s="11">
        <v>45692</v>
      </c>
      <c r="G11" s="9" t="s">
        <v>24</v>
      </c>
    </row>
    <row r="12" spans="1:7">
      <c r="A12" s="10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11">
        <v>46175</v>
      </c>
      <c r="G12" s="9" t="s">
        <v>30</v>
      </c>
    </row>
    <row r="13" spans="1:7">
      <c r="A13" s="10" t="s">
        <v>31</v>
      </c>
      <c r="B13" s="7" t="s">
        <v>32</v>
      </c>
      <c r="C13" s="7" t="s">
        <v>33</v>
      </c>
      <c r="D13" s="7" t="s">
        <v>22</v>
      </c>
      <c r="E13" s="7" t="s">
        <v>34</v>
      </c>
      <c r="F13" s="11">
        <v>45665</v>
      </c>
      <c r="G13" s="9" t="s">
        <v>30</v>
      </c>
    </row>
    <row r="14" spans="1:7">
      <c r="A14" s="10" t="s">
        <v>35</v>
      </c>
      <c r="B14" s="7" t="s">
        <v>36</v>
      </c>
      <c r="C14" s="7" t="s">
        <v>37</v>
      </c>
      <c r="D14" s="7" t="s">
        <v>38</v>
      </c>
      <c r="E14" s="7" t="s">
        <v>39</v>
      </c>
      <c r="F14" s="11">
        <v>46117</v>
      </c>
      <c r="G14" s="9" t="s">
        <v>24</v>
      </c>
    </row>
    <row r="15" spans="1:7">
      <c r="A15" s="10" t="s">
        <v>40</v>
      </c>
      <c r="B15" s="7" t="s">
        <v>41</v>
      </c>
      <c r="C15" s="7" t="s">
        <v>42</v>
      </c>
      <c r="D15" s="7" t="s">
        <v>43</v>
      </c>
      <c r="E15" s="7" t="s">
        <v>44</v>
      </c>
      <c r="F15" s="11">
        <v>45630</v>
      </c>
      <c r="G15" s="9" t="s">
        <v>30</v>
      </c>
    </row>
    <row r="16" spans="1:7">
      <c r="A16" s="10" t="s">
        <v>45</v>
      </c>
      <c r="B16" s="7" t="s">
        <v>46</v>
      </c>
      <c r="C16" s="7" t="s">
        <v>47</v>
      </c>
      <c r="D16" s="7" t="s">
        <v>38</v>
      </c>
      <c r="E16" s="7" t="s">
        <v>48</v>
      </c>
      <c r="F16" s="11">
        <v>44535</v>
      </c>
      <c r="G16" s="9" t="s">
        <v>24</v>
      </c>
    </row>
    <row r="17" spans="1:7">
      <c r="A17" s="10" t="s">
        <v>49</v>
      </c>
      <c r="B17" s="7" t="s">
        <v>50</v>
      </c>
      <c r="C17" s="7" t="s">
        <v>51</v>
      </c>
      <c r="D17" s="7" t="s">
        <v>52</v>
      </c>
      <c r="E17" s="7" t="s">
        <v>53</v>
      </c>
      <c r="F17" s="11">
        <v>44901</v>
      </c>
      <c r="G17" s="9" t="s">
        <v>30</v>
      </c>
    </row>
    <row r="18" spans="1:7">
      <c r="A18" s="10" t="s">
        <v>54</v>
      </c>
      <c r="B18" s="7" t="s">
        <v>55</v>
      </c>
      <c r="C18" s="7" t="s">
        <v>56</v>
      </c>
      <c r="D18" s="7" t="s">
        <v>38</v>
      </c>
      <c r="E18" s="7" t="s">
        <v>57</v>
      </c>
      <c r="F18" s="11">
        <v>45267</v>
      </c>
      <c r="G18" s="9" t="s">
        <v>24</v>
      </c>
    </row>
    <row r="19" spans="1:7">
      <c r="A19" s="10" t="s">
        <v>58</v>
      </c>
      <c r="B19" s="7" t="s">
        <v>59</v>
      </c>
      <c r="C19" s="7" t="s">
        <v>60</v>
      </c>
      <c r="D19" s="7" t="s">
        <v>43</v>
      </c>
      <c r="E19" s="7" t="s">
        <v>61</v>
      </c>
      <c r="F19" s="11">
        <v>45634</v>
      </c>
      <c r="G19" s="9" t="s">
        <v>24</v>
      </c>
    </row>
    <row r="20" spans="1:7">
      <c r="A20" s="10" t="s">
        <v>62</v>
      </c>
      <c r="B20" s="7" t="s">
        <v>63</v>
      </c>
      <c r="C20" s="7" t="s">
        <v>64</v>
      </c>
      <c r="D20" s="7" t="s">
        <v>38</v>
      </c>
      <c r="E20" s="7" t="s">
        <v>65</v>
      </c>
      <c r="F20" s="11">
        <v>46000</v>
      </c>
      <c r="G20" s="9" t="s">
        <v>18</v>
      </c>
    </row>
    <row r="21" spans="1:7">
      <c r="A21" s="10" t="s">
        <v>66</v>
      </c>
      <c r="B21" s="7" t="s">
        <v>67</v>
      </c>
      <c r="C21" s="7" t="s">
        <v>68</v>
      </c>
      <c r="D21" s="7" t="s">
        <v>28</v>
      </c>
      <c r="E21" s="7" t="s">
        <v>69</v>
      </c>
      <c r="F21" s="11">
        <v>44175</v>
      </c>
      <c r="G21" s="9" t="s">
        <v>24</v>
      </c>
    </row>
    <row r="22" spans="1:7">
      <c r="A22" s="10" t="s">
        <v>70</v>
      </c>
      <c r="B22" s="7" t="s">
        <v>71</v>
      </c>
      <c r="C22" s="7" t="s">
        <v>72</v>
      </c>
      <c r="D22" s="7" t="s">
        <v>73</v>
      </c>
      <c r="E22" s="7" t="s">
        <v>74</v>
      </c>
      <c r="F22" s="11">
        <v>46118</v>
      </c>
      <c r="G22" s="9" t="s">
        <v>30</v>
      </c>
    </row>
    <row r="23" spans="1:7">
      <c r="A23" s="10" t="s">
        <v>75</v>
      </c>
      <c r="B23" s="7" t="s">
        <v>76</v>
      </c>
      <c r="C23" s="7" t="s">
        <v>77</v>
      </c>
      <c r="D23" s="7" t="s">
        <v>43</v>
      </c>
      <c r="E23" s="7" t="s">
        <v>78</v>
      </c>
      <c r="F23" s="11">
        <v>45272</v>
      </c>
      <c r="G23" s="9" t="s">
        <v>24</v>
      </c>
    </row>
    <row r="24" spans="1:7">
      <c r="A24" s="10" t="s">
        <v>79</v>
      </c>
      <c r="B24" s="7" t="s">
        <v>80</v>
      </c>
      <c r="C24" s="7" t="s">
        <v>81</v>
      </c>
      <c r="D24" s="7" t="s">
        <v>73</v>
      </c>
      <c r="E24" s="7" t="s">
        <v>82</v>
      </c>
      <c r="F24" s="11">
        <v>44908</v>
      </c>
      <c r="G24" s="9" t="s">
        <v>18</v>
      </c>
    </row>
    <row r="25" spans="1:7">
      <c r="A25" s="10" t="s">
        <v>83</v>
      </c>
      <c r="B25" s="7" t="s">
        <v>84</v>
      </c>
      <c r="C25" s="7" t="s">
        <v>85</v>
      </c>
      <c r="D25" s="7" t="s">
        <v>16</v>
      </c>
      <c r="E25" s="7" t="s">
        <v>86</v>
      </c>
      <c r="F25" s="11">
        <v>44179</v>
      </c>
      <c r="G25" s="9" t="s">
        <v>30</v>
      </c>
    </row>
    <row r="26" spans="1:7">
      <c r="A26" s="10" t="s">
        <v>87</v>
      </c>
      <c r="B26" s="7" t="s">
        <v>88</v>
      </c>
      <c r="C26" s="7" t="s">
        <v>89</v>
      </c>
      <c r="D26" s="7" t="s">
        <v>52</v>
      </c>
      <c r="E26" s="7" t="s">
        <v>90</v>
      </c>
      <c r="F26" s="11">
        <v>44545</v>
      </c>
      <c r="G26" s="9" t="s">
        <v>18</v>
      </c>
    </row>
    <row r="27" spans="1:7">
      <c r="A27" s="10" t="s">
        <v>91</v>
      </c>
      <c r="B27" s="7" t="s">
        <v>92</v>
      </c>
      <c r="C27" s="7" t="s">
        <v>93</v>
      </c>
      <c r="D27" s="7" t="s">
        <v>22</v>
      </c>
      <c r="E27" s="7" t="s">
        <v>94</v>
      </c>
      <c r="F27" s="11">
        <v>44546</v>
      </c>
      <c r="G27" s="9" t="s">
        <v>30</v>
      </c>
    </row>
    <row r="28" spans="1:7">
      <c r="A28" s="10" t="s">
        <v>95</v>
      </c>
      <c r="B28" s="7" t="s">
        <v>96</v>
      </c>
      <c r="C28" s="7" t="s">
        <v>97</v>
      </c>
      <c r="D28" s="7" t="s">
        <v>38</v>
      </c>
      <c r="E28" s="7" t="s">
        <v>98</v>
      </c>
      <c r="F28" s="11">
        <v>42355</v>
      </c>
      <c r="G28" s="9" t="s">
        <v>24</v>
      </c>
    </row>
    <row r="29" spans="1:7">
      <c r="A29" s="10" t="s">
        <v>99</v>
      </c>
      <c r="B29" s="7" t="s">
        <v>100</v>
      </c>
      <c r="C29" s="7" t="s">
        <v>101</v>
      </c>
      <c r="D29" s="7" t="s">
        <v>38</v>
      </c>
      <c r="E29" s="7" t="s">
        <v>102</v>
      </c>
      <c r="F29" s="11">
        <v>45644</v>
      </c>
      <c r="G29" s="9" t="s">
        <v>30</v>
      </c>
    </row>
  </sheetData>
  <mergeCells count="5">
    <mergeCell ref="A3:B3"/>
    <mergeCell ref="A4:B4"/>
    <mergeCell ref="A5:C5"/>
    <mergeCell ref="A6:D6"/>
    <mergeCell ref="D7:F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659C-2626-42A9-85A3-9AEF4D398CDF}">
  <sheetPr>
    <tabColor rgb="FF0070C0"/>
  </sheetPr>
  <dimension ref="A1:O23"/>
  <sheetViews>
    <sheetView topLeftCell="A8" workbookViewId="0">
      <selection activeCell="J26" sqref="J26"/>
    </sheetView>
  </sheetViews>
  <sheetFormatPr defaultRowHeight="15"/>
  <cols>
    <col min="1" max="1" width="5.42578125" bestFit="1" customWidth="1"/>
    <col min="2" max="2" width="16.28515625" bestFit="1" customWidth="1"/>
    <col min="3" max="7" width="10.7109375" bestFit="1" customWidth="1"/>
    <col min="8" max="8" width="9.28515625" bestFit="1" customWidth="1"/>
    <col min="9" max="9" width="11.42578125" customWidth="1"/>
    <col min="10" max="10" width="12.140625" style="8" bestFit="1" customWidth="1"/>
    <col min="13" max="13" width="11.85546875" bestFit="1" customWidth="1"/>
    <col min="14" max="14" width="12" customWidth="1"/>
    <col min="15" max="15" width="10.140625" bestFit="1" customWidth="1"/>
  </cols>
  <sheetData>
    <row r="1" spans="1:15" ht="24">
      <c r="C1" s="39" t="s">
        <v>103</v>
      </c>
      <c r="D1" s="39"/>
      <c r="E1" s="39"/>
      <c r="F1" s="39"/>
      <c r="G1" s="39"/>
    </row>
    <row r="3" spans="1:15" ht="46.5">
      <c r="A3" s="18" t="s">
        <v>6</v>
      </c>
      <c r="B3" s="19" t="s">
        <v>104</v>
      </c>
      <c r="C3" s="20" t="s">
        <v>105</v>
      </c>
      <c r="D3" s="20" t="s">
        <v>106</v>
      </c>
      <c r="E3" s="20" t="s">
        <v>107</v>
      </c>
      <c r="F3" s="20" t="s">
        <v>108</v>
      </c>
      <c r="G3" s="20" t="s">
        <v>109</v>
      </c>
      <c r="H3" s="21" t="s">
        <v>110</v>
      </c>
      <c r="I3" s="21" t="s">
        <v>111</v>
      </c>
      <c r="J3" s="22" t="s">
        <v>112</v>
      </c>
    </row>
    <row r="4" spans="1:15" ht="15.75">
      <c r="A4" s="23" t="s">
        <v>13</v>
      </c>
      <c r="B4" s="62" t="s">
        <v>113</v>
      </c>
      <c r="C4" s="24">
        <v>0</v>
      </c>
      <c r="D4" s="24">
        <v>1</v>
      </c>
      <c r="E4" s="24">
        <v>1</v>
      </c>
      <c r="F4" s="24">
        <v>1</v>
      </c>
      <c r="G4" s="24">
        <v>0</v>
      </c>
      <c r="H4" s="24">
        <f>SUM(C4:G4)</f>
        <v>3</v>
      </c>
      <c r="I4" s="24">
        <f>H4*$O$7</f>
        <v>15</v>
      </c>
      <c r="J4" s="69">
        <f>I4/$O$8</f>
        <v>0.6</v>
      </c>
      <c r="M4" s="3" t="s">
        <v>114</v>
      </c>
      <c r="N4" s="4"/>
      <c r="O4" s="5" t="s">
        <v>115</v>
      </c>
    </row>
    <row r="5" spans="1:15" ht="15.75">
      <c r="A5" s="23" t="s">
        <v>19</v>
      </c>
      <c r="B5" s="62" t="s">
        <v>116</v>
      </c>
      <c r="C5" s="24">
        <v>0</v>
      </c>
      <c r="D5" s="24">
        <v>1</v>
      </c>
      <c r="E5" s="24">
        <v>1</v>
      </c>
      <c r="F5" s="24">
        <v>1</v>
      </c>
      <c r="G5" s="24">
        <v>1</v>
      </c>
      <c r="H5" s="24">
        <f t="shared" ref="H5:H23" si="0">SUM(C5:G5)</f>
        <v>4</v>
      </c>
      <c r="I5" s="24">
        <f>H5*$O$7</f>
        <v>20</v>
      </c>
      <c r="J5" s="72">
        <f t="shared" ref="J5:J23" si="1">I5/$O$8</f>
        <v>0.8</v>
      </c>
    </row>
    <row r="6" spans="1:15" ht="15.75">
      <c r="A6" s="23" t="s">
        <v>25</v>
      </c>
      <c r="B6" s="62" t="s">
        <v>117</v>
      </c>
      <c r="C6" s="24">
        <v>1</v>
      </c>
      <c r="D6" s="24">
        <v>0</v>
      </c>
      <c r="E6" s="24">
        <v>1</v>
      </c>
      <c r="F6" s="24">
        <v>1</v>
      </c>
      <c r="G6" s="24">
        <v>1</v>
      </c>
      <c r="H6" s="24">
        <f t="shared" si="0"/>
        <v>4</v>
      </c>
      <c r="I6" s="24">
        <f t="shared" ref="I5:I23" si="2">H6*$O$7</f>
        <v>20</v>
      </c>
      <c r="J6" s="72">
        <f t="shared" si="1"/>
        <v>0.8</v>
      </c>
      <c r="M6" s="30" t="s">
        <v>118</v>
      </c>
      <c r="N6" s="31"/>
      <c r="O6" s="29" t="s">
        <v>119</v>
      </c>
    </row>
    <row r="7" spans="1:15" ht="15.75">
      <c r="A7" s="23" t="s">
        <v>31</v>
      </c>
      <c r="B7" s="62" t="s">
        <v>120</v>
      </c>
      <c r="C7" s="24">
        <v>1</v>
      </c>
      <c r="D7" s="24">
        <v>1</v>
      </c>
      <c r="E7" s="24">
        <v>1</v>
      </c>
      <c r="F7" s="24">
        <v>1</v>
      </c>
      <c r="G7" s="24">
        <v>1</v>
      </c>
      <c r="H7" s="24">
        <f t="shared" si="0"/>
        <v>5</v>
      </c>
      <c r="I7" s="24">
        <f t="shared" si="2"/>
        <v>25</v>
      </c>
      <c r="J7" s="76">
        <f t="shared" si="1"/>
        <v>1</v>
      </c>
      <c r="M7" s="32" t="s">
        <v>121</v>
      </c>
      <c r="N7" s="33"/>
      <c r="O7" s="17">
        <v>5</v>
      </c>
    </row>
    <row r="8" spans="1:15" ht="15.75">
      <c r="A8" s="23" t="s">
        <v>35</v>
      </c>
      <c r="B8" s="62" t="s">
        <v>122</v>
      </c>
      <c r="C8" s="24">
        <v>0</v>
      </c>
      <c r="D8" s="24">
        <v>0</v>
      </c>
      <c r="E8" s="24">
        <v>1</v>
      </c>
      <c r="F8" s="24">
        <v>1</v>
      </c>
      <c r="G8" s="24">
        <v>1</v>
      </c>
      <c r="H8" s="24">
        <f t="shared" si="0"/>
        <v>3</v>
      </c>
      <c r="I8" s="24">
        <f t="shared" si="2"/>
        <v>15</v>
      </c>
      <c r="J8" s="69">
        <f t="shared" si="1"/>
        <v>0.6</v>
      </c>
      <c r="M8" s="34" t="s">
        <v>123</v>
      </c>
      <c r="N8" s="35"/>
      <c r="O8" s="6">
        <v>25</v>
      </c>
    </row>
    <row r="9" spans="1:15" ht="15.75">
      <c r="A9" s="23" t="s">
        <v>40</v>
      </c>
      <c r="B9" s="62" t="s">
        <v>124</v>
      </c>
      <c r="C9" s="24">
        <v>1</v>
      </c>
      <c r="D9" s="24">
        <v>1</v>
      </c>
      <c r="E9" s="24">
        <v>1</v>
      </c>
      <c r="F9" s="24">
        <v>0</v>
      </c>
      <c r="G9" s="24">
        <v>1</v>
      </c>
      <c r="H9" s="24">
        <f t="shared" si="0"/>
        <v>4</v>
      </c>
      <c r="I9" s="24">
        <f t="shared" si="2"/>
        <v>20</v>
      </c>
      <c r="J9" s="72">
        <f t="shared" si="1"/>
        <v>0.8</v>
      </c>
    </row>
    <row r="10" spans="1:15" ht="15.75">
      <c r="A10" s="23" t="s">
        <v>45</v>
      </c>
      <c r="B10" s="62" t="s">
        <v>125</v>
      </c>
      <c r="C10" s="24">
        <v>1</v>
      </c>
      <c r="D10" s="24">
        <v>0</v>
      </c>
      <c r="E10" s="24">
        <v>1</v>
      </c>
      <c r="F10" s="24">
        <v>1</v>
      </c>
      <c r="G10" s="24">
        <v>1</v>
      </c>
      <c r="H10" s="24">
        <f t="shared" si="0"/>
        <v>4</v>
      </c>
      <c r="I10" s="24">
        <f t="shared" si="2"/>
        <v>20</v>
      </c>
      <c r="J10" s="72">
        <f t="shared" si="1"/>
        <v>0.8</v>
      </c>
    </row>
    <row r="11" spans="1:15" ht="15.75">
      <c r="A11" s="23" t="s">
        <v>49</v>
      </c>
      <c r="B11" s="62" t="s">
        <v>126</v>
      </c>
      <c r="C11" s="24">
        <v>1</v>
      </c>
      <c r="D11" s="24">
        <v>1</v>
      </c>
      <c r="E11" s="24">
        <v>1</v>
      </c>
      <c r="F11" s="24">
        <v>1</v>
      </c>
      <c r="G11" s="24">
        <v>1</v>
      </c>
      <c r="H11" s="24">
        <f t="shared" si="0"/>
        <v>5</v>
      </c>
      <c r="I11" s="24">
        <f t="shared" si="2"/>
        <v>25</v>
      </c>
      <c r="J11" s="76">
        <f t="shared" si="1"/>
        <v>1</v>
      </c>
    </row>
    <row r="12" spans="1:15" ht="15.75">
      <c r="A12" s="23" t="s">
        <v>54</v>
      </c>
      <c r="B12" s="62" t="s">
        <v>127</v>
      </c>
      <c r="C12" s="24">
        <v>0</v>
      </c>
      <c r="D12" s="24">
        <v>1</v>
      </c>
      <c r="E12" s="24">
        <v>0</v>
      </c>
      <c r="F12" s="24">
        <v>1</v>
      </c>
      <c r="G12" s="24">
        <v>1</v>
      </c>
      <c r="H12" s="24">
        <f t="shared" si="0"/>
        <v>3</v>
      </c>
      <c r="I12" s="24">
        <f t="shared" si="2"/>
        <v>15</v>
      </c>
      <c r="J12" s="69">
        <f t="shared" si="1"/>
        <v>0.6</v>
      </c>
    </row>
    <row r="13" spans="1:15" ht="15.75">
      <c r="A13" s="23" t="s">
        <v>58</v>
      </c>
      <c r="B13" s="62" t="s">
        <v>128</v>
      </c>
      <c r="C13" s="24">
        <v>1</v>
      </c>
      <c r="D13" s="24">
        <v>0</v>
      </c>
      <c r="E13" s="24">
        <v>0</v>
      </c>
      <c r="F13" s="24">
        <v>1</v>
      </c>
      <c r="G13" s="24">
        <v>1</v>
      </c>
      <c r="H13" s="24">
        <f t="shared" si="0"/>
        <v>3</v>
      </c>
      <c r="I13" s="24">
        <f t="shared" si="2"/>
        <v>15</v>
      </c>
      <c r="J13" s="69">
        <f>I13/$O$8</f>
        <v>0.6</v>
      </c>
    </row>
    <row r="14" spans="1:15" ht="15.75">
      <c r="A14" s="23" t="s">
        <v>62</v>
      </c>
      <c r="B14" s="62" t="s">
        <v>129</v>
      </c>
      <c r="C14" s="24">
        <v>1</v>
      </c>
      <c r="D14" s="24">
        <v>1</v>
      </c>
      <c r="E14" s="24">
        <v>0</v>
      </c>
      <c r="F14" s="24">
        <v>1</v>
      </c>
      <c r="G14" s="24">
        <v>1</v>
      </c>
      <c r="H14" s="24">
        <f t="shared" si="0"/>
        <v>4</v>
      </c>
      <c r="I14" s="24">
        <f t="shared" si="2"/>
        <v>20</v>
      </c>
      <c r="J14" s="72">
        <f t="shared" si="1"/>
        <v>0.8</v>
      </c>
    </row>
    <row r="15" spans="1:15" ht="15.75">
      <c r="A15" s="23" t="s">
        <v>66</v>
      </c>
      <c r="B15" s="62" t="s">
        <v>130</v>
      </c>
      <c r="C15" s="24">
        <v>1</v>
      </c>
      <c r="D15" s="24">
        <v>0</v>
      </c>
      <c r="E15" s="24">
        <v>1</v>
      </c>
      <c r="F15" s="24">
        <v>1</v>
      </c>
      <c r="G15" s="24">
        <v>1</v>
      </c>
      <c r="H15" s="24">
        <f t="shared" si="0"/>
        <v>4</v>
      </c>
      <c r="I15" s="24">
        <f t="shared" si="2"/>
        <v>20</v>
      </c>
      <c r="J15" s="72">
        <f t="shared" si="1"/>
        <v>0.8</v>
      </c>
    </row>
    <row r="16" spans="1:15" ht="15.75">
      <c r="A16" s="23" t="s">
        <v>70</v>
      </c>
      <c r="B16" s="62" t="s">
        <v>131</v>
      </c>
      <c r="C16" s="24">
        <v>0</v>
      </c>
      <c r="D16" s="24">
        <v>0</v>
      </c>
      <c r="E16" s="24">
        <v>1</v>
      </c>
      <c r="F16" s="24">
        <v>1</v>
      </c>
      <c r="G16" s="24">
        <v>1</v>
      </c>
      <c r="H16" s="24">
        <f t="shared" si="0"/>
        <v>3</v>
      </c>
      <c r="I16" s="24">
        <f t="shared" si="2"/>
        <v>15</v>
      </c>
      <c r="J16" s="69">
        <f t="shared" si="1"/>
        <v>0.6</v>
      </c>
    </row>
    <row r="17" spans="1:10" ht="15.75">
      <c r="A17" s="23" t="s">
        <v>75</v>
      </c>
      <c r="B17" s="62" t="s">
        <v>132</v>
      </c>
      <c r="C17" s="24">
        <v>1</v>
      </c>
      <c r="D17" s="24">
        <v>1</v>
      </c>
      <c r="E17" s="24">
        <v>0</v>
      </c>
      <c r="F17" s="24">
        <v>0</v>
      </c>
      <c r="G17" s="24">
        <v>0</v>
      </c>
      <c r="H17" s="24">
        <f t="shared" si="0"/>
        <v>2</v>
      </c>
      <c r="I17" s="24">
        <f t="shared" si="2"/>
        <v>10</v>
      </c>
      <c r="J17" s="78">
        <f t="shared" si="1"/>
        <v>0.4</v>
      </c>
    </row>
    <row r="18" spans="1:10" ht="15.75">
      <c r="A18" s="23" t="s">
        <v>79</v>
      </c>
      <c r="B18" s="62" t="s">
        <v>133</v>
      </c>
      <c r="C18" s="24">
        <v>0</v>
      </c>
      <c r="D18" s="24">
        <v>1</v>
      </c>
      <c r="E18" s="24">
        <v>0</v>
      </c>
      <c r="F18" s="24">
        <v>1</v>
      </c>
      <c r="G18" s="24">
        <v>1</v>
      </c>
      <c r="H18" s="24">
        <f t="shared" si="0"/>
        <v>3</v>
      </c>
      <c r="I18" s="24">
        <f t="shared" si="2"/>
        <v>15</v>
      </c>
      <c r="J18" s="69">
        <f t="shared" si="1"/>
        <v>0.6</v>
      </c>
    </row>
    <row r="19" spans="1:10" ht="15.75">
      <c r="A19" s="23" t="s">
        <v>83</v>
      </c>
      <c r="B19" s="62" t="s">
        <v>134</v>
      </c>
      <c r="C19" s="24">
        <v>1</v>
      </c>
      <c r="D19" s="24">
        <v>0</v>
      </c>
      <c r="E19" s="24">
        <v>0</v>
      </c>
      <c r="F19" s="24">
        <v>1</v>
      </c>
      <c r="G19" s="24">
        <v>1</v>
      </c>
      <c r="H19" s="24">
        <f t="shared" si="0"/>
        <v>3</v>
      </c>
      <c r="I19" s="24">
        <f t="shared" si="2"/>
        <v>15</v>
      </c>
      <c r="J19" s="69">
        <f t="shared" si="1"/>
        <v>0.6</v>
      </c>
    </row>
    <row r="20" spans="1:10" ht="15.75">
      <c r="A20" s="23" t="s">
        <v>87</v>
      </c>
      <c r="B20" s="62" t="s">
        <v>135</v>
      </c>
      <c r="C20" s="24">
        <v>0</v>
      </c>
      <c r="D20" s="24">
        <v>1</v>
      </c>
      <c r="E20" s="24">
        <v>1</v>
      </c>
      <c r="F20" s="24">
        <v>1</v>
      </c>
      <c r="G20" s="24">
        <v>1</v>
      </c>
      <c r="H20" s="24">
        <f t="shared" si="0"/>
        <v>4</v>
      </c>
      <c r="I20" s="24">
        <f t="shared" si="2"/>
        <v>20</v>
      </c>
      <c r="J20" s="72">
        <f t="shared" si="1"/>
        <v>0.8</v>
      </c>
    </row>
    <row r="21" spans="1:10" ht="15.75">
      <c r="A21" s="23" t="s">
        <v>91</v>
      </c>
      <c r="B21" s="62" t="s">
        <v>136</v>
      </c>
      <c r="C21" s="24">
        <v>1</v>
      </c>
      <c r="D21" s="24">
        <v>0</v>
      </c>
      <c r="E21" s="24">
        <v>1</v>
      </c>
      <c r="F21" s="24">
        <v>0</v>
      </c>
      <c r="G21" s="24">
        <v>1</v>
      </c>
      <c r="H21" s="24">
        <f t="shared" si="0"/>
        <v>3</v>
      </c>
      <c r="I21" s="24">
        <f t="shared" si="2"/>
        <v>15</v>
      </c>
      <c r="J21" s="69">
        <f t="shared" si="1"/>
        <v>0.6</v>
      </c>
    </row>
    <row r="22" spans="1:10" ht="15.75">
      <c r="A22" s="23" t="s">
        <v>95</v>
      </c>
      <c r="B22" s="62" t="s">
        <v>137</v>
      </c>
      <c r="C22" s="24">
        <v>0</v>
      </c>
      <c r="D22" s="24">
        <v>1</v>
      </c>
      <c r="E22" s="24">
        <v>0</v>
      </c>
      <c r="F22" s="24">
        <v>1</v>
      </c>
      <c r="G22" s="24">
        <v>1</v>
      </c>
      <c r="H22" s="24">
        <f t="shared" si="0"/>
        <v>3</v>
      </c>
      <c r="I22" s="24">
        <f t="shared" si="2"/>
        <v>15</v>
      </c>
      <c r="J22" s="69">
        <f t="shared" si="1"/>
        <v>0.6</v>
      </c>
    </row>
    <row r="23" spans="1:10" ht="15.75">
      <c r="A23" s="25" t="s">
        <v>99</v>
      </c>
      <c r="B23" s="64" t="s">
        <v>138</v>
      </c>
      <c r="C23" s="26">
        <v>1</v>
      </c>
      <c r="D23" s="26">
        <v>1</v>
      </c>
      <c r="E23" s="26">
        <v>0</v>
      </c>
      <c r="F23" s="26">
        <v>1</v>
      </c>
      <c r="G23" s="26">
        <v>1</v>
      </c>
      <c r="H23" s="26">
        <f t="shared" si="0"/>
        <v>4</v>
      </c>
      <c r="I23" s="26">
        <f t="shared" si="2"/>
        <v>20</v>
      </c>
      <c r="J23" s="72">
        <f t="shared" si="1"/>
        <v>0.8</v>
      </c>
    </row>
  </sheetData>
  <mergeCells count="4">
    <mergeCell ref="M6:N6"/>
    <mergeCell ref="M7:N7"/>
    <mergeCell ref="C1:G1"/>
    <mergeCell ref="M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CD16-3869-40B9-ADEE-EA0378D776EC}">
  <sheetPr>
    <tabColor rgb="FFFFFF00"/>
  </sheetPr>
  <dimension ref="A2:I35"/>
  <sheetViews>
    <sheetView tabSelected="1" workbookViewId="0">
      <selection activeCell="A14" sqref="A14:D14"/>
    </sheetView>
  </sheetViews>
  <sheetFormatPr defaultRowHeight="15"/>
  <cols>
    <col min="1" max="1" width="5.42578125" bestFit="1" customWidth="1"/>
    <col min="2" max="2" width="16.28515625" style="40" bestFit="1" customWidth="1"/>
    <col min="3" max="3" width="15.7109375" bestFit="1" customWidth="1"/>
    <col min="4" max="4" width="14.140625" bestFit="1" customWidth="1"/>
    <col min="6" max="6" width="9" customWidth="1"/>
    <col min="7" max="7" width="11" customWidth="1"/>
    <col min="8" max="8" width="8.42578125" customWidth="1"/>
  </cols>
  <sheetData>
    <row r="2" spans="1:9" ht="26.25">
      <c r="B2" s="36" t="s">
        <v>139</v>
      </c>
      <c r="C2" s="36"/>
      <c r="D2" s="36"/>
      <c r="E2" s="36"/>
      <c r="F2" s="36"/>
      <c r="G2" s="36"/>
      <c r="H2" s="36"/>
      <c r="I2" s="36"/>
    </row>
    <row r="4" spans="1:9" ht="18.75">
      <c r="A4" s="54" t="s">
        <v>140</v>
      </c>
      <c r="B4" s="55"/>
      <c r="C4" s="56" t="s">
        <v>141</v>
      </c>
      <c r="D4" s="57"/>
    </row>
    <row r="5" spans="1:9" ht="15.75">
      <c r="A5" s="41" t="s">
        <v>104</v>
      </c>
      <c r="B5" s="42"/>
      <c r="C5" s="47">
        <f>COUNTA('Training Attendance'!A4:A23)</f>
        <v>20</v>
      </c>
      <c r="D5" s="48"/>
    </row>
    <row r="6" spans="1:9" ht="15.75">
      <c r="A6" s="41" t="s">
        <v>142</v>
      </c>
      <c r="B6" s="42"/>
      <c r="C6" s="47">
        <f>I7*I8</f>
        <v>25</v>
      </c>
      <c r="D6" s="48"/>
      <c r="G6" s="58" t="s">
        <v>118</v>
      </c>
      <c r="H6" s="59"/>
      <c r="I6" s="60" t="s">
        <v>119</v>
      </c>
    </row>
    <row r="7" spans="1:9" ht="15.75">
      <c r="A7" s="41" t="s">
        <v>143</v>
      </c>
      <c r="B7" s="42"/>
      <c r="C7" s="47">
        <f>AVERAGE('Training Attendance'!I4:I23)</f>
        <v>17.75</v>
      </c>
      <c r="D7" s="48"/>
      <c r="G7" s="41" t="s">
        <v>144</v>
      </c>
      <c r="H7" s="42"/>
      <c r="I7" s="43">
        <v>5</v>
      </c>
    </row>
    <row r="8" spans="1:9" ht="15.75">
      <c r="A8" s="41" t="s">
        <v>145</v>
      </c>
      <c r="B8" s="42"/>
      <c r="C8" s="47">
        <f>SUM('Training Attendance'!H4:H23)</f>
        <v>71</v>
      </c>
      <c r="D8" s="48"/>
      <c r="G8" s="44" t="s">
        <v>146</v>
      </c>
      <c r="H8" s="45"/>
      <c r="I8" s="46">
        <v>5</v>
      </c>
    </row>
    <row r="9" spans="1:9" ht="15.75">
      <c r="A9" s="41" t="s">
        <v>147</v>
      </c>
      <c r="B9" s="42"/>
      <c r="C9" s="49">
        <f>AVERAGE('Training Attendance'!J4:J23)</f>
        <v>0.71000000000000008</v>
      </c>
      <c r="D9" s="48"/>
    </row>
    <row r="10" spans="1:9" ht="15.75">
      <c r="A10" s="41" t="s">
        <v>148</v>
      </c>
      <c r="B10" s="42"/>
      <c r="C10" s="49">
        <f>MAX('Training Attendance'!J4:J23)</f>
        <v>1</v>
      </c>
      <c r="D10" s="48"/>
    </row>
    <row r="11" spans="1:9" ht="15.75">
      <c r="A11" s="50" t="s">
        <v>149</v>
      </c>
      <c r="B11" s="51"/>
      <c r="C11" s="52">
        <f>MIN('Training Attendance'!J4:J23)</f>
        <v>0.4</v>
      </c>
      <c r="D11" s="53"/>
    </row>
    <row r="13" spans="1:9">
      <c r="A13" s="28"/>
      <c r="B13" s="28"/>
      <c r="C13" s="28"/>
      <c r="D13" s="28"/>
    </row>
    <row r="14" spans="1:9" ht="24">
      <c r="A14" s="80" t="s">
        <v>150</v>
      </c>
      <c r="B14" s="81"/>
      <c r="C14" s="81"/>
      <c r="D14" s="81"/>
    </row>
    <row r="15" spans="1:9" ht="18.75">
      <c r="A15" s="65" t="s">
        <v>6</v>
      </c>
      <c r="B15" s="66" t="s">
        <v>104</v>
      </c>
      <c r="C15" s="67" t="s">
        <v>112</v>
      </c>
      <c r="D15" s="68" t="s">
        <v>151</v>
      </c>
    </row>
    <row r="16" spans="1:9" ht="15.75">
      <c r="A16" s="61" t="s">
        <v>13</v>
      </c>
      <c r="B16" s="62" t="s">
        <v>113</v>
      </c>
      <c r="C16" s="69">
        <v>0.6</v>
      </c>
      <c r="D16" s="70" t="s">
        <v>152</v>
      </c>
    </row>
    <row r="17" spans="1:4" ht="15.75">
      <c r="A17" s="61" t="s">
        <v>19</v>
      </c>
      <c r="B17" s="62" t="s">
        <v>116</v>
      </c>
      <c r="C17" s="72">
        <v>0.8</v>
      </c>
      <c r="D17" s="73" t="s">
        <v>153</v>
      </c>
    </row>
    <row r="18" spans="1:4" ht="15.75">
      <c r="A18" s="61" t="s">
        <v>25</v>
      </c>
      <c r="B18" s="62" t="s">
        <v>117</v>
      </c>
      <c r="C18" s="72">
        <v>0.8</v>
      </c>
      <c r="D18" s="73" t="s">
        <v>153</v>
      </c>
    </row>
    <row r="19" spans="1:4" ht="15.75">
      <c r="A19" s="61" t="s">
        <v>31</v>
      </c>
      <c r="B19" s="62" t="s">
        <v>120</v>
      </c>
      <c r="C19" s="76">
        <v>1</v>
      </c>
      <c r="D19" s="77" t="s">
        <v>154</v>
      </c>
    </row>
    <row r="20" spans="1:4" ht="15.75">
      <c r="A20" s="61" t="s">
        <v>35</v>
      </c>
      <c r="B20" s="62" t="s">
        <v>122</v>
      </c>
      <c r="C20" s="69">
        <v>0.6</v>
      </c>
      <c r="D20" s="70" t="s">
        <v>152</v>
      </c>
    </row>
    <row r="21" spans="1:4" ht="15.75">
      <c r="A21" s="61" t="s">
        <v>40</v>
      </c>
      <c r="B21" s="62" t="s">
        <v>124</v>
      </c>
      <c r="C21" s="72">
        <v>0.8</v>
      </c>
      <c r="D21" s="73" t="s">
        <v>153</v>
      </c>
    </row>
    <row r="22" spans="1:4" ht="15.75">
      <c r="A22" s="61" t="s">
        <v>45</v>
      </c>
      <c r="B22" s="62" t="s">
        <v>125</v>
      </c>
      <c r="C22" s="72">
        <v>0.8</v>
      </c>
      <c r="D22" s="73" t="s">
        <v>153</v>
      </c>
    </row>
    <row r="23" spans="1:4" ht="15.75">
      <c r="A23" s="61" t="s">
        <v>49</v>
      </c>
      <c r="B23" s="62" t="s">
        <v>126</v>
      </c>
      <c r="C23" s="76">
        <v>1</v>
      </c>
      <c r="D23" s="77" t="s">
        <v>154</v>
      </c>
    </row>
    <row r="24" spans="1:4" ht="15.75">
      <c r="A24" s="61" t="s">
        <v>54</v>
      </c>
      <c r="B24" s="62" t="s">
        <v>127</v>
      </c>
      <c r="C24" s="69">
        <v>0.6</v>
      </c>
      <c r="D24" s="70" t="s">
        <v>152</v>
      </c>
    </row>
    <row r="25" spans="1:4" ht="15.75">
      <c r="A25" s="61" t="s">
        <v>58</v>
      </c>
      <c r="B25" s="62" t="s">
        <v>128</v>
      </c>
      <c r="C25" s="69">
        <v>0.6</v>
      </c>
      <c r="D25" s="70" t="s">
        <v>152</v>
      </c>
    </row>
    <row r="26" spans="1:4" ht="15.75">
      <c r="A26" s="61" t="s">
        <v>62</v>
      </c>
      <c r="B26" s="62" t="s">
        <v>129</v>
      </c>
      <c r="C26" s="72">
        <v>0.8</v>
      </c>
      <c r="D26" s="73" t="s">
        <v>153</v>
      </c>
    </row>
    <row r="27" spans="1:4" ht="15.75">
      <c r="A27" s="61" t="s">
        <v>66</v>
      </c>
      <c r="B27" s="62" t="s">
        <v>130</v>
      </c>
      <c r="C27" s="72">
        <v>0.8</v>
      </c>
      <c r="D27" s="73" t="s">
        <v>153</v>
      </c>
    </row>
    <row r="28" spans="1:4" ht="15.75">
      <c r="A28" s="61" t="s">
        <v>70</v>
      </c>
      <c r="B28" s="62" t="s">
        <v>131</v>
      </c>
      <c r="C28" s="69">
        <v>0.6</v>
      </c>
      <c r="D28" s="70" t="s">
        <v>152</v>
      </c>
    </row>
    <row r="29" spans="1:4" ht="15.75">
      <c r="A29" s="61" t="s">
        <v>75</v>
      </c>
      <c r="B29" s="62" t="s">
        <v>132</v>
      </c>
      <c r="C29" s="78">
        <v>0.4</v>
      </c>
      <c r="D29" s="79" t="s">
        <v>155</v>
      </c>
    </row>
    <row r="30" spans="1:4" ht="15.75">
      <c r="A30" s="61" t="s">
        <v>79</v>
      </c>
      <c r="B30" s="62" t="s">
        <v>133</v>
      </c>
      <c r="C30" s="69">
        <v>0.6</v>
      </c>
      <c r="D30" s="71" t="s">
        <v>152</v>
      </c>
    </row>
    <row r="31" spans="1:4" ht="15.75">
      <c r="A31" s="61" t="s">
        <v>83</v>
      </c>
      <c r="B31" s="62" t="s">
        <v>134</v>
      </c>
      <c r="C31" s="69">
        <v>0.6</v>
      </c>
      <c r="D31" s="70" t="s">
        <v>152</v>
      </c>
    </row>
    <row r="32" spans="1:4" ht="15.75">
      <c r="A32" s="61" t="s">
        <v>87</v>
      </c>
      <c r="B32" s="62" t="s">
        <v>135</v>
      </c>
      <c r="C32" s="72">
        <v>0.8</v>
      </c>
      <c r="D32" s="73" t="s">
        <v>153</v>
      </c>
    </row>
    <row r="33" spans="1:4" ht="15.75">
      <c r="A33" s="61" t="s">
        <v>91</v>
      </c>
      <c r="B33" s="62" t="s">
        <v>136</v>
      </c>
      <c r="C33" s="69">
        <v>0.6</v>
      </c>
      <c r="D33" s="70" t="s">
        <v>152</v>
      </c>
    </row>
    <row r="34" spans="1:4" ht="15.75">
      <c r="A34" s="61" t="s">
        <v>95</v>
      </c>
      <c r="B34" s="62" t="s">
        <v>137</v>
      </c>
      <c r="C34" s="69">
        <v>0.6</v>
      </c>
      <c r="D34" s="70" t="s">
        <v>152</v>
      </c>
    </row>
    <row r="35" spans="1:4" ht="15.75">
      <c r="A35" s="63" t="s">
        <v>99</v>
      </c>
      <c r="B35" s="64" t="s">
        <v>138</v>
      </c>
      <c r="C35" s="74">
        <v>0.8</v>
      </c>
      <c r="D35" s="75" t="s">
        <v>153</v>
      </c>
    </row>
  </sheetData>
  <mergeCells count="21">
    <mergeCell ref="A14:D14"/>
    <mergeCell ref="A4:B4"/>
    <mergeCell ref="A5:B5"/>
    <mergeCell ref="A6:B6"/>
    <mergeCell ref="A7:B7"/>
    <mergeCell ref="B2:I2"/>
    <mergeCell ref="C4:D4"/>
    <mergeCell ref="C5:D5"/>
    <mergeCell ref="C6:D6"/>
    <mergeCell ref="C7:D7"/>
    <mergeCell ref="C8:D8"/>
    <mergeCell ref="C11:D11"/>
    <mergeCell ref="G6:H6"/>
    <mergeCell ref="G7:H7"/>
    <mergeCell ref="G8:H8"/>
    <mergeCell ref="A9:B9"/>
    <mergeCell ref="A10:B10"/>
    <mergeCell ref="A11:B11"/>
    <mergeCell ref="C9:D9"/>
    <mergeCell ref="C10:D10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2026-09-29T21:57:22Z</dcterms:created>
  <dcterms:modified xsi:type="dcterms:W3CDTF">2026-09-30T14:53:55Z</dcterms:modified>
  <cp:category/>
  <cp:contentStatus/>
</cp:coreProperties>
</file>